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showInkAnnotation="0" codeName="ThisWorkbook"/>
  <mc:AlternateContent xmlns:mc="http://schemas.openxmlformats.org/markup-compatibility/2006">
    <mc:Choice Requires="x15">
      <x15ac:absPath xmlns:x15ac="http://schemas.microsoft.com/office/spreadsheetml/2010/11/ac" url="G:\My Drive\IM Tools\"/>
    </mc:Choice>
  </mc:AlternateContent>
  <xr:revisionPtr revIDLastSave="0" documentId="13_ncr:1_{E60E593F-935B-479B-9622-57CDE3471000}" xr6:coauthVersionLast="47" xr6:coauthVersionMax="47" xr10:uidLastSave="{00000000-0000-0000-0000-000000000000}"/>
  <bookViews>
    <workbookView xWindow="-110" yWindow="-110" windowWidth="19420" windowHeight="11500" xr2:uid="{00000000-000D-0000-FFFF-FFFF00000000}"/>
  </bookViews>
  <sheets>
    <sheet name="0_Instructions" sheetId="1" r:id="rId1"/>
    <sheet name="1_Partner Contact" sheetId="4" state="veryHidden" r:id="rId2"/>
    <sheet name="1_MATRIX" sheetId="2" r:id="rId3"/>
    <sheet name="Vocabulary" sheetId="3" state="veryHidden" r:id="rId4"/>
  </sheets>
  <definedNames>
    <definedName name="_xlnm._FilterDatabase" localSheetId="3" hidden="1">Vocabulary!$BC$1:$BC$1</definedName>
    <definedName name="Act" xml:space="preserve"> OFFSET(Tbl_Act[[#Headers],[Activity]],,,COUNTA(Tbl_Act[Activity])+1)</definedName>
    <definedName name="Act_rep">OFFSET(Tbl_ActDet[[#Headers],[Activity]],,,COUNTA(Tbl_ActDet[Activity])+1)</definedName>
    <definedName name="ActDet">OFFSET(Tbl_ActDet[[#Headers],[Indicators]],,,COUNTA(Tbl_ActDet[Indicators])+1)</definedName>
    <definedName name="Activity_tbl">Tbl_ActDet[Activity]</definedName>
    <definedName name="Activity_title">Tbl_ActDet[[#Headers],[Activity]]</definedName>
    <definedName name="Adamawa">Vocabulary!$BJ$2:$BJ$22</definedName>
    <definedName name="ADM1_" localSheetId="1">Tbl_Adm1[ADM1]</definedName>
    <definedName name="ADM1_">Tbl_Adm1[ADM1]</definedName>
    <definedName name="admin1" localSheetId="1">OFFSET(Tbl_Adm2[[#Headers],[ADM1]],,,COUNTA(Tbl_Adm2[ADM1])+1)</definedName>
    <definedName name="admin1">OFFSET(Tbl_Adm2[[#Headers],[ADM1]],,,COUNTA(Tbl_Adm2[ADM1])+1)</definedName>
    <definedName name="admin2" localSheetId="1">OFFSET(Tbl_Adm2[[#Headers],[ADM2]],,,COUNTA(Tbl_Adm2[ADM2])+1)</definedName>
    <definedName name="admin2">OFFSET(Tbl_Adm2[[#Headers],[ADM2]],,,COUNTA(Tbl_Adm2[ADM2])+1)</definedName>
    <definedName name="admin2_rep" localSheetId="1">OFFSET(Tbl_Adm3[[#Headers],[ADM2]],,,COUNTA(Tbl_Adm3[ADM2])+1)</definedName>
    <definedName name="admin2_rep">OFFSET(Tbl_Adm3[[#Headers],[ADM2]],,,COUNTA(Tbl_Adm3[ADM2])+1)</definedName>
    <definedName name="admin3" localSheetId="1">OFFSET(Tbl_Adm3[[#Headers],[ADM3]],,,COUNTA(Tbl_Adm3[ADM3])+1)</definedName>
    <definedName name="admin3">OFFSET(Tbl_Adm3[[#Headers],[ADM3]],,,COUNTA(Tbl_Adm3[ADM3])+1)</definedName>
    <definedName name="BenefType">Table11[Beneficiary Type]</definedName>
    <definedName name="Borno">Vocabulary!$BK$2:$BK$28</definedName>
    <definedName name="Dom">OFFSET(Tbl_Act[[#Headers],[Domain]],,,COUNTA(Tbl_Act[Domain])+1)</definedName>
    <definedName name="Domain" localSheetId="1">Table5[Domain]</definedName>
    <definedName name="Domain">Table5[Domain]</definedName>
    <definedName name="Domain_tbl">Tbl_ActDet[Domain]</definedName>
    <definedName name="Domain_title">Tbl_ActDet[[#Headers],[Domain]]</definedName>
    <definedName name="EmergList">Table9[Emergency List]</definedName>
    <definedName name="indicator">Tbl_ActDet[[#All],[Activity]:[Indicators]]</definedName>
    <definedName name="LAct">OFFSET(Act,MATCH(Table1[WASH Domain
(Select in the dropdown list)],Dom,0)-1,0,COUNTIF(Dom,Table1[WASH Domain
(Select in the dropdown list)]))</definedName>
    <definedName name="LActD">OFFSET(ActDet,MATCH(Table1[Activity
(Select in the dropdown list)],Act_rep,0)-1,0,COUNTIF(Act_rep,Table1[Activity
(Select in the dropdown list)]))</definedName>
    <definedName name="Ladmin2" localSheetId="1">OFFSET('1_Partner Contact'!admin2,MATCH(Table1[State
(Select in the dropdown list)],'1_Partner Contact'!admin1,0)-1,0,COUNTIF('1_Partner Contact'!admin1,Table1[State
(Select in the dropdown list)]))</definedName>
    <definedName name="Ladmin2">OFFSET(admin2,MATCH(Table1[State
(Select in the dropdown list)],admin1,0)-1,0,COUNTIF(admin1,Table1[State
(Select in the dropdown list)]))</definedName>
    <definedName name="Ladmin3" localSheetId="1">OFFSET('1_Partner Contact'!admin3,MATCH(Table1[LGA
(Select in the dropdown list)],'1_Partner Contact'!admin2_rep,0)-1,0,COUNTIF('1_Partner Contact'!admin2_rep,Table1[LGA
(Select in the dropdown list)]))</definedName>
    <definedName name="Ladmin3">OFFSET(admin3,MATCH(Table1[LGA
(Select in the dropdown list)],admin2_rep,0)-1,0,COUNTIF(admin2_rep,Table1[LGA
(Select in the dropdown list)]))</definedName>
    <definedName name="Modality">Table10[Modality]</definedName>
    <definedName name="OrgType" localSheetId="1">Table6[Type]</definedName>
    <definedName name="OrgType">Table6[Type]</definedName>
    <definedName name="Partners">Table18[Organization]</definedName>
    <definedName name="_xlnm.Print_Area" localSheetId="0">'0_Instructions'!$A$1:$B$37</definedName>
    <definedName name="_xlnm.Print_Area" localSheetId="1">'1_Partner Contact'!$A$1:$D$17</definedName>
    <definedName name="SiteType">Table13[[SiteType ]]</definedName>
    <definedName name="Status">Table12[Status]</definedName>
    <definedName name="Yobe">Vocabulary!$BL$2:$BL$18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2" l="1" a="1"/>
  <c r="D7" i="2" a="1"/>
  <c r="D8" i="2" a="1"/>
  <c r="D9" i="2" a="1"/>
  <c r="D10" i="2" a="1"/>
  <c r="D11" i="2" a="1"/>
  <c r="D12" i="2" a="1"/>
  <c r="D13" i="2" a="1"/>
  <c r="D14" i="2" a="1"/>
  <c r="D15" i="2" a="1"/>
  <c r="D16" i="2" a="1"/>
  <c r="D17" i="2" a="1"/>
  <c r="D18" i="2" a="1"/>
  <c r="D19" i="2" a="1"/>
  <c r="D20" i="2" a="1"/>
  <c r="D21" i="2" a="1"/>
  <c r="D22" i="2" a="1"/>
  <c r="D23" i="2" a="1"/>
  <c r="D24" i="2" a="1"/>
  <c r="D25" i="2" a="1"/>
  <c r="D26" i="2" a="1"/>
  <c r="D27" i="2" a="1"/>
  <c r="D28" i="2" a="1"/>
  <c r="D29" i="2" a="1"/>
  <c r="D30" i="2" a="1"/>
  <c r="D31" i="2" a="1"/>
  <c r="D32" i="2" a="1"/>
  <c r="D33" i="2" a="1"/>
  <c r="D34" i="2" a="1"/>
  <c r="D35" i="2" a="1"/>
  <c r="D36" i="2" a="1"/>
  <c r="D37" i="2" a="1"/>
  <c r="D38" i="2" a="1"/>
  <c r="D39" i="2" a="1"/>
  <c r="D40" i="2" a="1"/>
  <c r="D41" i="2" a="1"/>
  <c r="D42" i="2" a="1"/>
  <c r="D43" i="2" a="1"/>
  <c r="D44" i="2" a="1"/>
  <c r="D45" i="2" a="1"/>
  <c r="D46" i="2" a="1"/>
  <c r="D47" i="2" a="1"/>
  <c r="D48" i="2" a="1"/>
  <c r="D49" i="2" a="1"/>
  <c r="D50" i="2" a="1"/>
  <c r="D51" i="2" a="1"/>
  <c r="D52" i="2" a="1"/>
  <c r="D53" i="2" a="1"/>
  <c r="D54" i="2" a="1"/>
  <c r="D55" i="2" a="1"/>
  <c r="D56" i="2" a="1"/>
  <c r="D57" i="2" a="1"/>
  <c r="D58" i="2" a="1"/>
  <c r="D59" i="2" a="1"/>
  <c r="D60" i="2" a="1"/>
  <c r="D61" i="2" a="1"/>
  <c r="D62" i="2" a="1"/>
  <c r="D63" i="2" a="1"/>
  <c r="D64" i="2" a="1"/>
  <c r="D65" i="2" a="1"/>
  <c r="D66" i="2" a="1"/>
  <c r="D67" i="2" a="1"/>
  <c r="D68" i="2" a="1"/>
  <c r="D69" i="2" a="1"/>
  <c r="D70" i="2" a="1"/>
  <c r="D71" i="2" a="1"/>
  <c r="D72" i="2" a="1"/>
  <c r="D73" i="2" a="1"/>
  <c r="D74" i="2" a="1"/>
  <c r="D75" i="2" a="1"/>
  <c r="D76" i="2" a="1"/>
  <c r="D77" i="2" a="1"/>
  <c r="D78" i="2" a="1"/>
  <c r="D79" i="2" a="1"/>
  <c r="D80" i="2" a="1"/>
  <c r="D81" i="2" a="1"/>
  <c r="D82" i="2" a="1"/>
  <c r="D83" i="2" a="1"/>
  <c r="D84" i="2" a="1"/>
  <c r="D85" i="2" a="1"/>
  <c r="D86" i="2" a="1"/>
  <c r="D87" i="2" a="1"/>
  <c r="D88" i="2" a="1"/>
  <c r="D89" i="2" a="1"/>
  <c r="D90" i="2" a="1"/>
  <c r="D91" i="2" a="1"/>
  <c r="D92" i="2" a="1"/>
  <c r="D93" i="2" a="1"/>
  <c r="D94" i="2" a="1"/>
  <c r="D95" i="2" a="1"/>
  <c r="D96" i="2" a="1"/>
  <c r="D97" i="2" a="1"/>
  <c r="D98" i="2" a="1"/>
  <c r="D99" i="2" a="1"/>
  <c r="D100" i="2" a="1"/>
  <c r="D101" i="2" a="1"/>
  <c r="D102" i="2" a="1"/>
  <c r="D103" i="2" a="1"/>
  <c r="D104" i="2" a="1"/>
  <c r="D105" i="2" a="1"/>
  <c r="D106" i="2" a="1"/>
  <c r="D107" i="2" a="1"/>
  <c r="D108" i="2" a="1"/>
  <c r="D109" i="2" a="1"/>
  <c r="D110" i="2" a="1"/>
  <c r="D111" i="2" a="1"/>
  <c r="D112" i="2" a="1"/>
  <c r="D113" i="2" a="1"/>
  <c r="D114" i="2" a="1"/>
  <c r="D115" i="2" a="1"/>
  <c r="D116" i="2" a="1"/>
  <c r="D4" i="2" a="1"/>
  <c r="U5" i="2" l="1"/>
  <c r="V5" i="2" s="1" a="1"/>
  <c r="AE5" i="2"/>
  <c r="U6" i="2"/>
  <c r="V6" i="2" s="1" a="1"/>
  <c r="AE6" i="2"/>
  <c r="U7" i="2"/>
  <c r="V7" i="2" s="1" a="1"/>
  <c r="AE7" i="2"/>
  <c r="U8" i="2"/>
  <c r="V8" i="2" s="1" a="1"/>
  <c r="AE8" i="2"/>
  <c r="U9" i="2"/>
  <c r="V9" i="2" s="1" a="1"/>
  <c r="AE9" i="2"/>
  <c r="U10" i="2"/>
  <c r="V10" i="2" s="1" a="1"/>
  <c r="AE10" i="2"/>
  <c r="U11" i="2"/>
  <c r="V11" i="2" s="1" a="1"/>
  <c r="AE11" i="2"/>
  <c r="U12" i="2"/>
  <c r="V12" i="2" s="1" a="1"/>
  <c r="AE12" i="2"/>
  <c r="U13" i="2"/>
  <c r="V13" i="2" s="1" a="1"/>
  <c r="AE13" i="2"/>
  <c r="U14" i="2"/>
  <c r="V14" i="2" s="1" a="1"/>
  <c r="AE14" i="2"/>
  <c r="U15" i="2"/>
  <c r="V15" i="2" s="1" a="1"/>
  <c r="AE15" i="2"/>
  <c r="U16" i="2"/>
  <c r="V16" i="2" s="1" a="1"/>
  <c r="AE16" i="2"/>
  <c r="U17" i="2"/>
  <c r="V17" i="2" s="1" a="1"/>
  <c r="AE17" i="2"/>
  <c r="U18" i="2"/>
  <c r="V18" i="2" s="1" a="1"/>
  <c r="AE18" i="2"/>
  <c r="U19" i="2"/>
  <c r="V19" i="2" s="1" a="1"/>
  <c r="AE19" i="2"/>
  <c r="U20" i="2"/>
  <c r="V20" i="2" s="1" a="1"/>
  <c r="AE20" i="2"/>
  <c r="U21" i="2"/>
  <c r="V21" i="2" s="1" a="1"/>
  <c r="AE21" i="2"/>
  <c r="U22" i="2"/>
  <c r="V22" i="2" s="1" a="1"/>
  <c r="AE22" i="2"/>
  <c r="U23" i="2"/>
  <c r="V23" i="2" s="1" a="1"/>
  <c r="AE23" i="2"/>
  <c r="U24" i="2"/>
  <c r="V24" i="2" s="1" a="1"/>
  <c r="AE24" i="2"/>
  <c r="U25" i="2"/>
  <c r="V25" i="2" s="1" a="1"/>
  <c r="AE25" i="2"/>
  <c r="U26" i="2"/>
  <c r="V26" i="2" s="1" a="1"/>
  <c r="AE26" i="2"/>
  <c r="U27" i="2"/>
  <c r="V27" i="2" s="1" a="1"/>
  <c r="AE27" i="2"/>
  <c r="U28" i="2"/>
  <c r="V28" i="2" s="1" a="1"/>
  <c r="AE28" i="2"/>
  <c r="U29" i="2"/>
  <c r="V29" i="2" s="1" a="1"/>
  <c r="AE29" i="2"/>
  <c r="U30" i="2"/>
  <c r="V30" i="2" s="1" a="1"/>
  <c r="AE30" i="2"/>
  <c r="U31" i="2"/>
  <c r="V31" i="2" s="1" a="1"/>
  <c r="AE31" i="2"/>
  <c r="U32" i="2"/>
  <c r="V32" i="2" s="1" a="1"/>
  <c r="AE32" i="2"/>
  <c r="U33" i="2"/>
  <c r="V33" i="2" s="1" a="1"/>
  <c r="AE33" i="2"/>
  <c r="U34" i="2"/>
  <c r="V34" i="2" s="1" a="1"/>
  <c r="AE34" i="2"/>
  <c r="U35" i="2"/>
  <c r="V35" i="2" s="1" a="1"/>
  <c r="AE35" i="2"/>
  <c r="U36" i="2"/>
  <c r="V36" i="2" s="1" a="1"/>
  <c r="AE36" i="2"/>
  <c r="U37" i="2"/>
  <c r="V37" i="2" s="1" a="1"/>
  <c r="AE37" i="2"/>
  <c r="U38" i="2"/>
  <c r="V38" i="2" s="1" a="1"/>
  <c r="AE38" i="2"/>
  <c r="U39" i="2"/>
  <c r="V39" i="2" s="1" a="1"/>
  <c r="AE39" i="2"/>
  <c r="U40" i="2"/>
  <c r="V40" i="2" s="1" a="1"/>
  <c r="AE40" i="2"/>
  <c r="U41" i="2"/>
  <c r="V41" i="2" s="1" a="1"/>
  <c r="AE41" i="2"/>
  <c r="U42" i="2"/>
  <c r="V42" i="2" s="1" a="1"/>
  <c r="AE42" i="2"/>
  <c r="U43" i="2"/>
  <c r="V43" i="2" s="1" a="1"/>
  <c r="AE43" i="2"/>
  <c r="U44" i="2"/>
  <c r="V44" i="2" s="1" a="1"/>
  <c r="AE44" i="2"/>
  <c r="U45" i="2"/>
  <c r="V45" i="2" s="1" a="1"/>
  <c r="AE45" i="2"/>
  <c r="U46" i="2"/>
  <c r="V46" i="2" s="1" a="1"/>
  <c r="AE46" i="2"/>
  <c r="U47" i="2"/>
  <c r="V47" i="2" s="1" a="1"/>
  <c r="AE47" i="2"/>
  <c r="U48" i="2"/>
  <c r="V48" i="2" s="1" a="1"/>
  <c r="AE48" i="2"/>
  <c r="U49" i="2"/>
  <c r="V49" i="2" s="1" a="1"/>
  <c r="AE49" i="2"/>
  <c r="U50" i="2"/>
  <c r="V50" i="2" s="1" a="1"/>
  <c r="AE50" i="2"/>
  <c r="U51" i="2"/>
  <c r="V51" i="2" s="1" a="1"/>
  <c r="AE51" i="2"/>
  <c r="U52" i="2"/>
  <c r="V52" i="2" s="1" a="1"/>
  <c r="AE52" i="2"/>
  <c r="U53" i="2"/>
  <c r="V53" i="2" s="1" a="1"/>
  <c r="AE53" i="2"/>
  <c r="U54" i="2"/>
  <c r="V54" i="2" s="1" a="1"/>
  <c r="AE54" i="2"/>
  <c r="U55" i="2"/>
  <c r="V55" i="2" s="1" a="1"/>
  <c r="AE55" i="2"/>
  <c r="U56" i="2"/>
  <c r="V56" i="2" s="1" a="1"/>
  <c r="AE56" i="2"/>
  <c r="U57" i="2"/>
  <c r="V57" i="2" s="1" a="1"/>
  <c r="AE57" i="2"/>
  <c r="U58" i="2"/>
  <c r="V58" i="2" s="1" a="1"/>
  <c r="AE58" i="2"/>
  <c r="U59" i="2"/>
  <c r="V59" i="2" s="1" a="1"/>
  <c r="AE59" i="2"/>
  <c r="U60" i="2"/>
  <c r="V60" i="2" s="1" a="1"/>
  <c r="AE60" i="2"/>
  <c r="U61" i="2"/>
  <c r="V61" i="2" s="1" a="1"/>
  <c r="AE61" i="2"/>
  <c r="U62" i="2"/>
  <c r="V62" i="2" s="1" a="1"/>
  <c r="AE62" i="2"/>
  <c r="U63" i="2"/>
  <c r="V63" i="2" s="1" a="1"/>
  <c r="AE63" i="2"/>
  <c r="U64" i="2"/>
  <c r="V64" i="2" s="1" a="1"/>
  <c r="AE64" i="2"/>
  <c r="U65" i="2"/>
  <c r="V65" i="2" s="1" a="1"/>
  <c r="AE65" i="2"/>
  <c r="U66" i="2"/>
  <c r="V66" i="2" s="1" a="1"/>
  <c r="AE66" i="2"/>
  <c r="U67" i="2"/>
  <c r="V67" i="2" s="1" a="1"/>
  <c r="AE67" i="2"/>
  <c r="U68" i="2"/>
  <c r="V68" i="2" s="1" a="1"/>
  <c r="AE68" i="2"/>
  <c r="U69" i="2"/>
  <c r="V69" i="2" s="1" a="1"/>
  <c r="AE69" i="2"/>
  <c r="U70" i="2"/>
  <c r="V70" i="2" s="1" a="1"/>
  <c r="AE70" i="2"/>
  <c r="U71" i="2"/>
  <c r="V71" i="2" s="1" a="1"/>
  <c r="AE71" i="2"/>
  <c r="U72" i="2"/>
  <c r="V72" i="2" s="1" a="1"/>
  <c r="AE72" i="2"/>
  <c r="U73" i="2"/>
  <c r="V73" i="2" s="1" a="1"/>
  <c r="AE73" i="2"/>
  <c r="U74" i="2"/>
  <c r="V74" i="2" s="1" a="1"/>
  <c r="AE74" i="2"/>
  <c r="U75" i="2"/>
  <c r="V75" i="2" s="1" a="1"/>
  <c r="AE75" i="2"/>
  <c r="U76" i="2"/>
  <c r="V76" i="2" s="1" a="1"/>
  <c r="AE76" i="2"/>
  <c r="U77" i="2"/>
  <c r="V77" i="2" s="1" a="1"/>
  <c r="AE77" i="2"/>
  <c r="U78" i="2"/>
  <c r="V78" i="2" s="1" a="1"/>
  <c r="AE78" i="2"/>
  <c r="U79" i="2"/>
  <c r="V79" i="2" s="1" a="1"/>
  <c r="AE79" i="2"/>
  <c r="U80" i="2"/>
  <c r="V80" i="2" s="1" a="1"/>
  <c r="AE80" i="2"/>
  <c r="U81" i="2"/>
  <c r="V81" i="2" s="1" a="1"/>
  <c r="AE81" i="2"/>
  <c r="U82" i="2"/>
  <c r="V82" i="2" s="1" a="1"/>
  <c r="AE82" i="2"/>
  <c r="U83" i="2"/>
  <c r="V83" i="2" s="1" a="1"/>
  <c r="AE83" i="2"/>
  <c r="U84" i="2"/>
  <c r="V84" i="2" s="1" a="1"/>
  <c r="AE84" i="2"/>
  <c r="U85" i="2"/>
  <c r="V85" i="2" s="1" a="1"/>
  <c r="AE85" i="2"/>
  <c r="U86" i="2"/>
  <c r="V86" i="2" s="1" a="1"/>
  <c r="AE86" i="2"/>
  <c r="U87" i="2"/>
  <c r="V87" i="2" s="1" a="1"/>
  <c r="AE87" i="2"/>
  <c r="U88" i="2"/>
  <c r="V88" i="2" s="1" a="1"/>
  <c r="AE88" i="2"/>
  <c r="U89" i="2"/>
  <c r="V89" i="2" s="1" a="1"/>
  <c r="AE89" i="2"/>
  <c r="U90" i="2"/>
  <c r="V90" i="2" s="1" a="1"/>
  <c r="AE90" i="2"/>
  <c r="U91" i="2"/>
  <c r="V91" i="2" s="1" a="1"/>
  <c r="AE91" i="2"/>
  <c r="U92" i="2"/>
  <c r="V92" i="2" s="1" a="1"/>
  <c r="AE92" i="2"/>
  <c r="U93" i="2"/>
  <c r="V93" i="2" s="1" a="1"/>
  <c r="AE93" i="2"/>
  <c r="U94" i="2"/>
  <c r="V94" i="2" s="1" a="1"/>
  <c r="AE94" i="2"/>
  <c r="U95" i="2"/>
  <c r="V95" i="2" s="1" a="1"/>
  <c r="AE95" i="2"/>
  <c r="U96" i="2"/>
  <c r="V96" i="2" s="1" a="1"/>
  <c r="AE96" i="2"/>
  <c r="U97" i="2"/>
  <c r="V97" i="2" a="1"/>
  <c r="AE97" i="2"/>
  <c r="U98" i="2"/>
  <c r="V98" i="2" s="1" a="1"/>
  <c r="AE98" i="2"/>
  <c r="U99" i="2"/>
  <c r="V99" i="2" s="1" a="1"/>
  <c r="AE99" i="2"/>
  <c r="U100" i="2"/>
  <c r="V100" i="2" s="1" a="1"/>
  <c r="AE100" i="2"/>
  <c r="U101" i="2"/>
  <c r="V101" i="2" s="1" a="1"/>
  <c r="AE101" i="2"/>
  <c r="U102" i="2"/>
  <c r="V102" i="2" s="1" a="1"/>
  <c r="AE102" i="2"/>
  <c r="U103" i="2"/>
  <c r="V103" i="2" s="1" a="1"/>
  <c r="AE103" i="2"/>
  <c r="U104" i="2"/>
  <c r="V104" i="2" s="1" a="1"/>
  <c r="AE104" i="2"/>
  <c r="U105" i="2"/>
  <c r="V105" i="2" s="1" a="1"/>
  <c r="AE105" i="2"/>
  <c r="U106" i="2"/>
  <c r="V106" i="2" a="1"/>
  <c r="AE106" i="2"/>
  <c r="U107" i="2"/>
  <c r="V107" i="2" s="1" a="1"/>
  <c r="AE107" i="2"/>
  <c r="U108" i="2"/>
  <c r="V108" i="2" s="1" a="1"/>
  <c r="AE108" i="2"/>
  <c r="U109" i="2"/>
  <c r="V109" i="2" s="1" a="1"/>
  <c r="AE109" i="2"/>
  <c r="U110" i="2"/>
  <c r="V110" i="2" s="1" a="1"/>
  <c r="AE110" i="2"/>
  <c r="U111" i="2"/>
  <c r="V111" i="2" s="1" a="1"/>
  <c r="AE111" i="2"/>
  <c r="U112" i="2"/>
  <c r="V112" i="2" s="1" a="1"/>
  <c r="AE112" i="2"/>
  <c r="U113" i="2"/>
  <c r="V113" i="2" s="1" a="1"/>
  <c r="AE113" i="2"/>
  <c r="U114" i="2"/>
  <c r="V114" i="2" s="1" a="1"/>
  <c r="AE114" i="2"/>
  <c r="U115" i="2"/>
  <c r="V115" i="2" s="1" a="1"/>
  <c r="AE115" i="2"/>
  <c r="U116" i="2"/>
  <c r="V116" i="2" s="1" a="1"/>
  <c r="AE116" i="2"/>
  <c r="AE4" i="2"/>
  <c r="U4" i="2"/>
  <c r="V4" i="2" s="1" a="1"/>
  <c r="V116" i="2"/>
  <c r="D116" i="2"/>
  <c r="V115" i="2"/>
  <c r="D115" i="2"/>
  <c r="V114" i="2"/>
  <c r="D114" i="2"/>
  <c r="V113" i="2"/>
  <c r="D113" i="2"/>
  <c r="V112" i="2"/>
  <c r="D112" i="2"/>
  <c r="V111" i="2"/>
  <c r="D111" i="2"/>
  <c r="V110" i="2"/>
  <c r="D110" i="2"/>
  <c r="V109" i="2"/>
  <c r="D109" i="2"/>
  <c r="V108" i="2"/>
  <c r="D108" i="2"/>
  <c r="V107" i="2"/>
  <c r="D107" i="2"/>
  <c r="V106" i="2"/>
  <c r="D106" i="2"/>
  <c r="V105" i="2"/>
  <c r="D105" i="2"/>
  <c r="V104" i="2"/>
  <c r="D104" i="2"/>
  <c r="V103" i="2"/>
  <c r="D103" i="2"/>
  <c r="V102" i="2"/>
  <c r="D102" i="2"/>
  <c r="V101" i="2"/>
  <c r="D101" i="2"/>
  <c r="V100" i="2"/>
  <c r="D100" i="2"/>
  <c r="V99" i="2"/>
  <c r="D99" i="2"/>
  <c r="V98" i="2"/>
  <c r="D98" i="2"/>
  <c r="V97" i="2"/>
  <c r="D97" i="2"/>
  <c r="V96" i="2"/>
  <c r="D96" i="2"/>
  <c r="V95" i="2"/>
  <c r="D95" i="2"/>
  <c r="V94" i="2"/>
  <c r="D94" i="2"/>
  <c r="V93" i="2"/>
  <c r="D93" i="2"/>
  <c r="V92" i="2"/>
  <c r="D92" i="2"/>
  <c r="V91" i="2"/>
  <c r="D91" i="2"/>
  <c r="V90" i="2"/>
  <c r="D90" i="2"/>
  <c r="V89" i="2"/>
  <c r="D89" i="2"/>
  <c r="V88" i="2"/>
  <c r="D88" i="2"/>
  <c r="V87" i="2"/>
  <c r="D87" i="2"/>
  <c r="V86" i="2"/>
  <c r="D86" i="2"/>
  <c r="V85" i="2"/>
  <c r="D85" i="2"/>
  <c r="V84" i="2"/>
  <c r="D84" i="2"/>
  <c r="V83" i="2"/>
  <c r="D83" i="2"/>
  <c r="V82" i="2"/>
  <c r="D82" i="2"/>
  <c r="V81" i="2"/>
  <c r="D81" i="2"/>
  <c r="V80" i="2"/>
  <c r="D80" i="2"/>
  <c r="V79" i="2"/>
  <c r="D79" i="2"/>
  <c r="V78" i="2"/>
  <c r="D78" i="2"/>
  <c r="V77" i="2"/>
  <c r="D77" i="2"/>
  <c r="V76" i="2"/>
  <c r="D76" i="2"/>
  <c r="V75" i="2"/>
  <c r="D75" i="2"/>
  <c r="V74" i="2"/>
  <c r="D74" i="2"/>
  <c r="V73" i="2"/>
  <c r="D73" i="2"/>
  <c r="V72" i="2"/>
  <c r="D72" i="2"/>
  <c r="V71" i="2"/>
  <c r="D71" i="2"/>
  <c r="V70" i="2"/>
  <c r="D70" i="2"/>
  <c r="V69" i="2"/>
  <c r="D69" i="2"/>
  <c r="V68" i="2"/>
  <c r="D68" i="2"/>
  <c r="V67" i="2"/>
  <c r="D67" i="2"/>
  <c r="V66" i="2"/>
  <c r="D66" i="2"/>
  <c r="V65" i="2"/>
  <c r="D65" i="2"/>
  <c r="V64" i="2"/>
  <c r="D64" i="2"/>
  <c r="V63" i="2"/>
  <c r="D63" i="2"/>
  <c r="V62" i="2"/>
  <c r="D62" i="2"/>
  <c r="V61" i="2"/>
  <c r="D61" i="2"/>
  <c r="V60" i="2"/>
  <c r="D60" i="2"/>
  <c r="V59" i="2"/>
  <c r="D59" i="2"/>
  <c r="V58" i="2"/>
  <c r="D58" i="2"/>
  <c r="V57" i="2"/>
  <c r="D57" i="2"/>
  <c r="V56" i="2"/>
  <c r="D56" i="2"/>
  <c r="V55" i="2"/>
  <c r="D55" i="2"/>
  <c r="V54" i="2"/>
  <c r="D54" i="2"/>
  <c r="V53" i="2"/>
  <c r="D53" i="2"/>
  <c r="V52" i="2"/>
  <c r="D52" i="2"/>
  <c r="V51" i="2"/>
  <c r="D51" i="2"/>
  <c r="V50" i="2"/>
  <c r="D50" i="2"/>
  <c r="V49" i="2"/>
  <c r="D49" i="2"/>
  <c r="V48" i="2"/>
  <c r="D48" i="2"/>
  <c r="V47" i="2"/>
  <c r="D47" i="2"/>
  <c r="V46" i="2"/>
  <c r="D46" i="2"/>
  <c r="V45" i="2"/>
  <c r="D45" i="2"/>
  <c r="V44" i="2"/>
  <c r="D44" i="2"/>
  <c r="V43" i="2"/>
  <c r="D43" i="2"/>
  <c r="V42" i="2"/>
  <c r="D42" i="2"/>
  <c r="V41" i="2"/>
  <c r="D41" i="2"/>
  <c r="V40" i="2"/>
  <c r="D40" i="2"/>
  <c r="V39" i="2"/>
  <c r="D39" i="2"/>
  <c r="V38" i="2"/>
  <c r="D38" i="2"/>
  <c r="V37" i="2"/>
  <c r="D37" i="2"/>
  <c r="V36" i="2"/>
  <c r="D36" i="2"/>
  <c r="V35" i="2"/>
  <c r="D35" i="2"/>
  <c r="V34" i="2"/>
  <c r="D34" i="2"/>
  <c r="V33" i="2"/>
  <c r="D33" i="2"/>
  <c r="V32" i="2"/>
  <c r="D32" i="2"/>
  <c r="V31" i="2"/>
  <c r="D31" i="2"/>
  <c r="V30" i="2"/>
  <c r="D30" i="2"/>
  <c r="V29" i="2"/>
  <c r="D29" i="2"/>
  <c r="V28" i="2"/>
  <c r="D28" i="2"/>
  <c r="V27" i="2"/>
  <c r="D27" i="2"/>
  <c r="V26" i="2"/>
  <c r="D26" i="2"/>
  <c r="V25" i="2"/>
  <c r="D25" i="2"/>
  <c r="V24" i="2"/>
  <c r="D24" i="2"/>
  <c r="V23" i="2"/>
  <c r="D23" i="2"/>
  <c r="V22" i="2"/>
  <c r="D22" i="2"/>
  <c r="V21" i="2"/>
  <c r="D21" i="2"/>
  <c r="V20" i="2"/>
  <c r="D20" i="2"/>
  <c r="V19" i="2"/>
  <c r="D19" i="2"/>
  <c r="V18" i="2"/>
  <c r="D18" i="2"/>
  <c r="V17" i="2"/>
  <c r="D17" i="2"/>
  <c r="V16" i="2"/>
  <c r="D16" i="2"/>
  <c r="V15" i="2"/>
  <c r="D15" i="2"/>
  <c r="V14" i="2"/>
  <c r="D14" i="2"/>
  <c r="V13" i="2"/>
  <c r="D13" i="2"/>
  <c r="V12" i="2"/>
  <c r="D12" i="2"/>
  <c r="V11" i="2"/>
  <c r="D11" i="2"/>
  <c r="V10" i="2"/>
  <c r="D10" i="2"/>
  <c r="V9" i="2"/>
  <c r="D9" i="2"/>
  <c r="V8" i="2"/>
  <c r="D8" i="2"/>
  <c r="V7" i="2"/>
  <c r="D7" i="2"/>
  <c r="V6" i="2"/>
  <c r="D6" i="2"/>
  <c r="V5" i="2"/>
  <c r="V4" i="2"/>
  <c r="D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lenovo</author>
    <author>Administrator</author>
  </authors>
  <commentList>
    <comment ref="N3" authorId="0" shapeId="0" xr:uid="{B367CD5A-F267-4B64-9B43-AB9740F3050C}">
      <text>
        <r>
          <rPr>
            <b/>
            <sz val="9"/>
            <color indexed="81"/>
            <rFont val="Tahoma"/>
            <family val="2"/>
          </rPr>
          <t>lenovo:</t>
        </r>
        <r>
          <rPr>
            <sz val="9"/>
            <color indexed="81"/>
            <rFont val="Tahoma"/>
            <family val="2"/>
          </rPr>
          <t xml:space="preserve">
Village, School, IDP/Refugees sites,….</t>
        </r>
      </text>
    </comment>
    <comment ref="O3" authorId="0" shapeId="0" xr:uid="{D6C62CC5-36E2-48E7-855E-7E97219006D8}">
      <text>
        <r>
          <rPr>
            <b/>
            <sz val="9"/>
            <color indexed="81"/>
            <rFont val="Tahoma"/>
            <family val="2"/>
          </rPr>
          <t>lenovo:</t>
        </r>
        <r>
          <rPr>
            <sz val="9"/>
            <color indexed="81"/>
            <rFont val="Tahoma"/>
            <family val="2"/>
          </rPr>
          <t xml:space="preserve">
Name of village, school,IDP/Refugees sites,….</t>
        </r>
      </text>
    </comment>
    <comment ref="Q3" authorId="1" shapeId="0" xr:uid="{DC682922-B7BA-481C-A8AF-FD458D469542}">
      <text>
        <r>
          <rPr>
            <b/>
            <sz val="9"/>
            <color indexed="81"/>
            <rFont val="Tahoma"/>
            <family val="2"/>
          </rPr>
          <t>Administrator:</t>
        </r>
        <r>
          <rPr>
            <sz val="9"/>
            <color indexed="81"/>
            <rFont val="Tahoma"/>
            <family val="2"/>
          </rPr>
          <t xml:space="preserve">
Input the Latitude and Longitude of the Location separated by comma. Example: 11.89394, 13.6651</t>
        </r>
      </text>
    </comment>
    <comment ref="AA3" authorId="0" shapeId="0" xr:uid="{ED8CBABF-6164-4AF8-AEB3-0EC8BA29DF3C}">
      <text>
        <r>
          <rPr>
            <b/>
            <sz val="9"/>
            <color indexed="81"/>
            <rFont val="Tahoma"/>
            <family val="2"/>
          </rPr>
          <t>lenovo:</t>
        </r>
        <r>
          <rPr>
            <sz val="9"/>
            <color indexed="81"/>
            <rFont val="Tahoma"/>
            <family val="2"/>
          </rPr>
          <t xml:space="preserve">
Please add a </t>
        </r>
        <r>
          <rPr>
            <b/>
            <sz val="9"/>
            <color indexed="81"/>
            <rFont val="Tahoma"/>
            <family val="2"/>
          </rPr>
          <t>CUMULATIVE</t>
        </r>
        <r>
          <rPr>
            <sz val="9"/>
            <color indexed="81"/>
            <rFont val="Tahoma"/>
            <family val="2"/>
          </rPr>
          <t xml:space="preserve"> number of beneficiaries in response so far</t>
        </r>
      </text>
    </comment>
    <comment ref="AB3" authorId="0" shapeId="0" xr:uid="{CD36C636-2C1A-4606-8FF5-D80AF06097C0}">
      <text>
        <r>
          <rPr>
            <b/>
            <sz val="9"/>
            <color indexed="81"/>
            <rFont val="Tahoma"/>
            <family val="2"/>
          </rPr>
          <t>lenovo:</t>
        </r>
        <r>
          <rPr>
            <sz val="9"/>
            <color indexed="81"/>
            <rFont val="Tahoma"/>
            <family val="2"/>
          </rPr>
          <t xml:space="preserve">
Please add a </t>
        </r>
        <r>
          <rPr>
            <b/>
            <sz val="9"/>
            <color indexed="81"/>
            <rFont val="Tahoma"/>
            <family val="2"/>
          </rPr>
          <t>CUMULATIVE</t>
        </r>
        <r>
          <rPr>
            <sz val="9"/>
            <color indexed="81"/>
            <rFont val="Tahoma"/>
            <family val="2"/>
          </rPr>
          <t xml:space="preserve"> number of beneficiaries in response so far</t>
        </r>
      </text>
    </comment>
    <comment ref="AC3" authorId="0" shapeId="0" xr:uid="{17CFA0E3-08BD-4800-AE58-CC7C09EC0DDC}">
      <text>
        <r>
          <rPr>
            <b/>
            <sz val="9"/>
            <color indexed="81"/>
            <rFont val="Tahoma"/>
            <family val="2"/>
          </rPr>
          <t>lenovo:</t>
        </r>
        <r>
          <rPr>
            <sz val="9"/>
            <color indexed="81"/>
            <rFont val="Tahoma"/>
            <family val="2"/>
          </rPr>
          <t xml:space="preserve">
Please add a </t>
        </r>
        <r>
          <rPr>
            <b/>
            <sz val="9"/>
            <color indexed="81"/>
            <rFont val="Tahoma"/>
            <family val="2"/>
          </rPr>
          <t>CUMULATIVE</t>
        </r>
        <r>
          <rPr>
            <sz val="9"/>
            <color indexed="81"/>
            <rFont val="Tahoma"/>
            <family val="2"/>
          </rPr>
          <t xml:space="preserve"> number of beneficiaries in response so far</t>
        </r>
      </text>
    </comment>
    <comment ref="AD3" authorId="0" shapeId="0" xr:uid="{E2B745AB-3D36-4D2F-AB86-453E71C225E2}">
      <text>
        <r>
          <rPr>
            <b/>
            <sz val="9"/>
            <color indexed="81"/>
            <rFont val="Tahoma"/>
            <family val="2"/>
          </rPr>
          <t>lenovo:</t>
        </r>
        <r>
          <rPr>
            <sz val="9"/>
            <color indexed="81"/>
            <rFont val="Tahoma"/>
            <family val="2"/>
          </rPr>
          <t xml:space="preserve">
Please add a </t>
        </r>
        <r>
          <rPr>
            <b/>
            <sz val="9"/>
            <color indexed="81"/>
            <rFont val="Tahoma"/>
            <family val="2"/>
          </rPr>
          <t>CUMULATIVE</t>
        </r>
        <r>
          <rPr>
            <sz val="9"/>
            <color indexed="81"/>
            <rFont val="Tahoma"/>
            <family val="2"/>
          </rPr>
          <t xml:space="preserve"> number of beneficiaries in response so far</t>
        </r>
      </text>
    </comment>
    <comment ref="AE3" authorId="0" shapeId="0" xr:uid="{DB7145C0-48FE-4B95-A26D-0D2A4F025A40}">
      <text>
        <r>
          <rPr>
            <b/>
            <sz val="9"/>
            <color indexed="81"/>
            <rFont val="Tahoma"/>
            <family val="2"/>
          </rPr>
          <t>lenovo:</t>
        </r>
        <r>
          <rPr>
            <sz val="9"/>
            <color indexed="81"/>
            <rFont val="Tahoma"/>
            <family val="2"/>
          </rPr>
          <t xml:space="preserve">
Please add a </t>
        </r>
        <r>
          <rPr>
            <b/>
            <sz val="9"/>
            <color indexed="81"/>
            <rFont val="Tahoma"/>
            <family val="2"/>
          </rPr>
          <t>CUMULATIVE</t>
        </r>
        <r>
          <rPr>
            <sz val="9"/>
            <color indexed="81"/>
            <rFont val="Tahoma"/>
            <family val="2"/>
          </rPr>
          <t xml:space="preserve"> number of beneficiaries in response so far</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<sst xmlns="http://schemas.openxmlformats.org/spreadsheetml/2006/main" count="5481" uniqueCount="2001">
  <si>
    <t>Response Monitoring (5W)</t>
  </si>
  <si>
    <r>
      <rPr>
        <b/>
        <sz val="14"/>
        <color theme="1" tint="0.249977111117893"/>
        <rFont val="Arial"/>
        <family val="2"/>
      </rPr>
      <t>Instructions to the Cluster IM:</t>
    </r>
    <r>
      <rPr>
        <b/>
        <sz val="14"/>
        <color theme="1"/>
        <rFont val="Arial"/>
        <family val="2"/>
      </rPr>
      <t xml:space="preserve">
</t>
    </r>
    <r>
      <rPr>
        <sz val="10"/>
        <color theme="1" tint="0.249977111117893"/>
        <rFont val="Arial"/>
        <family val="2"/>
      </rPr>
      <t xml:space="preserve">=&gt; Unhide the Vocabulary tab,
=&gt; Copy and paste (as value) the country's administrative data,
=&gt; Review the list of proposed activities (column V to AF)
=&gt; Review also others tables from AI to AU
</t>
    </r>
    <r>
      <rPr>
        <b/>
        <sz val="10"/>
        <color rgb="FFC00000"/>
        <rFont val="Arial"/>
        <family val="2"/>
      </rPr>
      <t>!!</t>
    </r>
    <r>
      <rPr>
        <sz val="10"/>
        <color theme="1" tint="0.249977111117893"/>
        <rFont val="Arial"/>
        <family val="2"/>
      </rPr>
      <t xml:space="preserve"> Ensure to set correct PCODE (HDX website can help:https://data.humdata.org/),
</t>
    </r>
    <r>
      <rPr>
        <b/>
        <sz val="10"/>
        <color rgb="FFC00000"/>
        <rFont val="Arial"/>
        <family val="2"/>
      </rPr>
      <t>!!</t>
    </r>
    <r>
      <rPr>
        <sz val="10"/>
        <color theme="1" tint="0.249977111117893"/>
        <rFont val="Arial"/>
        <family val="2"/>
      </rPr>
      <t xml:space="preserve"> Do not rename tables,
=&gt; Hide the Vocabulary tab &amp; remove this part of the instruction before sharing the file with partners,</t>
    </r>
    <r>
      <rPr>
        <b/>
        <sz val="14"/>
        <color theme="1"/>
        <rFont val="Arial"/>
        <family val="2"/>
      </rPr>
      <t xml:space="preserve">
</t>
    </r>
  </si>
  <si>
    <t>Organisation Name:</t>
  </si>
  <si>
    <t>Acronym:</t>
  </si>
  <si>
    <t xml:space="preserve">Type of organisation: </t>
  </si>
  <si>
    <t>International NGO</t>
  </si>
  <si>
    <t>Contact Name:</t>
  </si>
  <si>
    <t>Phone Number:</t>
  </si>
  <si>
    <t xml:space="preserve">Email of the contact: </t>
  </si>
  <si>
    <t>WHO?</t>
  </si>
  <si>
    <t>WHERE?</t>
  </si>
  <si>
    <t>WHAT?</t>
  </si>
  <si>
    <t>WHOM?</t>
  </si>
  <si>
    <t>WHEN?</t>
  </si>
  <si>
    <t>Implementing Partners</t>
  </si>
  <si>
    <r>
      <t xml:space="preserve">Pcode_ADM1
</t>
    </r>
    <r>
      <rPr>
        <sz val="8"/>
        <color theme="1" tint="0.34998626667073579"/>
        <rFont val="Arial"/>
        <family val="2"/>
      </rPr>
      <t>(automatically filled)</t>
    </r>
  </si>
  <si>
    <r>
      <t xml:space="preserve">Pcode_ADM2
</t>
    </r>
    <r>
      <rPr>
        <sz val="8"/>
        <color theme="1" tint="0.34998626667073579"/>
        <rFont val="Arial"/>
        <family val="2"/>
      </rPr>
      <t>(automatically filled)</t>
    </r>
  </si>
  <si>
    <r>
      <t xml:space="preserve">Pcode_ADM3
</t>
    </r>
    <r>
      <rPr>
        <sz val="8"/>
        <color theme="1" tint="0.34998626667073579"/>
        <rFont val="Arial"/>
        <family val="2"/>
      </rPr>
      <t>(automatically filled)</t>
    </r>
  </si>
  <si>
    <r>
      <t xml:space="preserve">Intervention / Emergency Type
</t>
    </r>
    <r>
      <rPr>
        <sz val="8"/>
        <color theme="2" tint="-0.499984740745262"/>
        <rFont val="Arial"/>
        <family val="2"/>
      </rPr>
      <t>(Select in the dropdown list</t>
    </r>
    <r>
      <rPr>
        <sz val="10"/>
        <color theme="1"/>
        <rFont val="Arial"/>
        <family val="2"/>
      </rPr>
      <t>)</t>
    </r>
  </si>
  <si>
    <r>
      <t xml:space="preserve">WASH Domain
</t>
    </r>
    <r>
      <rPr>
        <sz val="8"/>
        <color theme="1" tint="0.34998626667073579"/>
        <rFont val="Arial"/>
        <family val="2"/>
      </rPr>
      <t>(Select in the dropdown list)</t>
    </r>
  </si>
  <si>
    <r>
      <t xml:space="preserve">Activity
</t>
    </r>
    <r>
      <rPr>
        <sz val="8"/>
        <color theme="1" tint="0.34998626667073579"/>
        <rFont val="Arial"/>
        <family val="2"/>
      </rPr>
      <t>(Select in the dropdown list)</t>
    </r>
  </si>
  <si>
    <r>
      <t xml:space="preserve">Unit
</t>
    </r>
    <r>
      <rPr>
        <sz val="8"/>
        <color theme="2" tint="-0.499984740745262"/>
        <rFont val="Arial"/>
        <family val="2"/>
      </rPr>
      <t>(automatically filled)</t>
    </r>
  </si>
  <si>
    <r>
      <t xml:space="preserve">Is HRP activity?
</t>
    </r>
    <r>
      <rPr>
        <sz val="8"/>
        <color theme="2" tint="-0.499984740745262"/>
        <rFont val="Arial"/>
        <family val="2"/>
      </rPr>
      <t>(Select in the dropdown list)</t>
    </r>
  </si>
  <si>
    <t>Quantity
Planned</t>
  </si>
  <si>
    <t>Quantity
Achieved</t>
  </si>
  <si>
    <r>
      <t xml:space="preserve">Beneficiary Type
</t>
    </r>
    <r>
      <rPr>
        <sz val="8"/>
        <color theme="1" tint="0.34998626667073579"/>
        <rFont val="Arial"/>
        <family val="2"/>
      </rPr>
      <t>(Select in the dropdown list)</t>
    </r>
  </si>
  <si>
    <t>#Beneficiary
Boys</t>
  </si>
  <si>
    <t>#Beneficiary
Girl</t>
  </si>
  <si>
    <t>#Beneficiary
Men</t>
  </si>
  <si>
    <t>#Beneficiary
Women</t>
  </si>
  <si>
    <r>
      <t xml:space="preserve"># Total Beneficiary
</t>
    </r>
    <r>
      <rPr>
        <sz val="8"/>
        <color theme="2" tint="-0.499984740745262"/>
        <rFont val="Arial"/>
        <family val="2"/>
      </rPr>
      <t>(if disaggregation unavailable)</t>
    </r>
  </si>
  <si>
    <r>
      <t xml:space="preserve">Starting date
</t>
    </r>
    <r>
      <rPr>
        <sz val="8"/>
        <color theme="2" tint="-0.499984740745262"/>
        <rFont val="Arial"/>
        <family val="2"/>
      </rPr>
      <t>DD/MM/YYYY</t>
    </r>
  </si>
  <si>
    <r>
      <t xml:space="preserve">End date
</t>
    </r>
    <r>
      <rPr>
        <sz val="8"/>
        <color theme="2" tint="-0.499984740745262"/>
        <rFont val="Arial"/>
        <family val="2"/>
      </rPr>
      <t>DD/MM/YYYY</t>
    </r>
  </si>
  <si>
    <r>
      <t xml:space="preserve">Status
</t>
    </r>
    <r>
      <rPr>
        <sz val="8"/>
        <color theme="2" tint="-0.499984740745262"/>
        <rFont val="Arial"/>
        <family val="2"/>
      </rPr>
      <t>(Select in the dropdown list)</t>
    </r>
  </si>
  <si>
    <t>Comments</t>
  </si>
  <si>
    <t>Cholera</t>
  </si>
  <si>
    <t>Water</t>
  </si>
  <si>
    <t>ADM1</t>
  </si>
  <si>
    <t>Adm1_Pcode</t>
  </si>
  <si>
    <t>ADM2</t>
  </si>
  <si>
    <t>Adm2_Pcode</t>
  </si>
  <si>
    <t>ADM3</t>
  </si>
  <si>
    <t>Adm3_Pcode</t>
  </si>
  <si>
    <t>Type</t>
  </si>
  <si>
    <t>Domain</t>
  </si>
  <si>
    <t>Activity</t>
  </si>
  <si>
    <t>Indicators</t>
  </si>
  <si>
    <t>Units</t>
  </si>
  <si>
    <t>Status</t>
  </si>
  <si>
    <t>Beneficiary Type</t>
  </si>
  <si>
    <t>Modality</t>
  </si>
  <si>
    <t>Emergency List</t>
  </si>
  <si>
    <t xml:space="preserve">SiteType </t>
  </si>
  <si>
    <t>Government</t>
  </si>
  <si>
    <t>Cancelled</t>
  </si>
  <si>
    <t>Host communities</t>
  </si>
  <si>
    <t>CASH</t>
  </si>
  <si>
    <t>Community</t>
  </si>
  <si>
    <t>Sanitation</t>
  </si>
  <si>
    <t>Completed</t>
  </si>
  <si>
    <t>IDPs</t>
  </si>
  <si>
    <t>Voucher</t>
  </si>
  <si>
    <t>Flooding</t>
  </si>
  <si>
    <t>National NGO</t>
  </si>
  <si>
    <t>Hygiene</t>
  </si>
  <si>
    <t>In progress</t>
  </si>
  <si>
    <t>Refugees</t>
  </si>
  <si>
    <t>Malnutrition</t>
  </si>
  <si>
    <t>Health Center</t>
  </si>
  <si>
    <t>Red Cross and Crescent Movement</t>
  </si>
  <si>
    <t>Planned</t>
  </si>
  <si>
    <t>Returnees</t>
  </si>
  <si>
    <t>UN Agency</t>
  </si>
  <si>
    <t>Suspended</t>
  </si>
  <si>
    <t>Refugee Camp</t>
  </si>
  <si>
    <t>School</t>
  </si>
  <si>
    <t>Borno</t>
  </si>
  <si>
    <t>Adamawa</t>
  </si>
  <si>
    <t>Yobe</t>
  </si>
  <si>
    <t>NG002</t>
  </si>
  <si>
    <t>NG008</t>
  </si>
  <si>
    <t>NG036</t>
  </si>
  <si>
    <t>Demsa</t>
  </si>
  <si>
    <t>NG002001</t>
  </si>
  <si>
    <t>Fufore</t>
  </si>
  <si>
    <t>NG002002</t>
  </si>
  <si>
    <t>Ganye</t>
  </si>
  <si>
    <t>NG002003</t>
  </si>
  <si>
    <t>Girei</t>
  </si>
  <si>
    <t>NG002004</t>
  </si>
  <si>
    <t>Gombi</t>
  </si>
  <si>
    <t>NG002005</t>
  </si>
  <si>
    <t>Guyuk</t>
  </si>
  <si>
    <t>NG002006</t>
  </si>
  <si>
    <t>Hong</t>
  </si>
  <si>
    <t>NG002007</t>
  </si>
  <si>
    <t>Jada</t>
  </si>
  <si>
    <t>NG002008</t>
  </si>
  <si>
    <t>Lamurde</t>
  </si>
  <si>
    <t>NG002009</t>
  </si>
  <si>
    <t>Madagali</t>
  </si>
  <si>
    <t>NG002010</t>
  </si>
  <si>
    <t>Maiha</t>
  </si>
  <si>
    <t>NG002011</t>
  </si>
  <si>
    <t>Mayo-Belwa</t>
  </si>
  <si>
    <t>NG002012</t>
  </si>
  <si>
    <t>Michika</t>
  </si>
  <si>
    <t>NG002013</t>
  </si>
  <si>
    <t>Mubi North</t>
  </si>
  <si>
    <t>NG002014</t>
  </si>
  <si>
    <t>Mubi South</t>
  </si>
  <si>
    <t>NG002015</t>
  </si>
  <si>
    <t>Numan</t>
  </si>
  <si>
    <t>NG002016</t>
  </si>
  <si>
    <t>Shelleng</t>
  </si>
  <si>
    <t>NG002017</t>
  </si>
  <si>
    <t>Song</t>
  </si>
  <si>
    <t>NG002018</t>
  </si>
  <si>
    <t>Toungo</t>
  </si>
  <si>
    <t>NG002019</t>
  </si>
  <si>
    <t>Yola North</t>
  </si>
  <si>
    <t>NG002020</t>
  </si>
  <si>
    <t>Yola South</t>
  </si>
  <si>
    <t>NG002021</t>
  </si>
  <si>
    <t>Abadam</t>
  </si>
  <si>
    <t>NG008001</t>
  </si>
  <si>
    <t>Askira/Uba</t>
  </si>
  <si>
    <t>NG008002</t>
  </si>
  <si>
    <t>Bama</t>
  </si>
  <si>
    <t>NG008003</t>
  </si>
  <si>
    <t>Bayo</t>
  </si>
  <si>
    <t>NG008004</t>
  </si>
  <si>
    <t>Biu</t>
  </si>
  <si>
    <t>NG008005</t>
  </si>
  <si>
    <t>Chibok</t>
  </si>
  <si>
    <t>NG008006</t>
  </si>
  <si>
    <t>Damboa</t>
  </si>
  <si>
    <t>NG008007</t>
  </si>
  <si>
    <t>Dikwa</t>
  </si>
  <si>
    <t>NG008008</t>
  </si>
  <si>
    <t>Gubio</t>
  </si>
  <si>
    <t>NG008009</t>
  </si>
  <si>
    <t>Guzamala</t>
  </si>
  <si>
    <t>NG008010</t>
  </si>
  <si>
    <t>Gwoza</t>
  </si>
  <si>
    <t>NG008011</t>
  </si>
  <si>
    <t>Hawul</t>
  </si>
  <si>
    <t>NG008012</t>
  </si>
  <si>
    <t>Jere</t>
  </si>
  <si>
    <t>NG008013</t>
  </si>
  <si>
    <t>Kaga</t>
  </si>
  <si>
    <t>NG008014</t>
  </si>
  <si>
    <t>Kala/Balge</t>
  </si>
  <si>
    <t>NG008015</t>
  </si>
  <si>
    <t>Konduga</t>
  </si>
  <si>
    <t>NG008016</t>
  </si>
  <si>
    <t>Kukawa</t>
  </si>
  <si>
    <t>NG008017</t>
  </si>
  <si>
    <t>Kwaya Kusar</t>
  </si>
  <si>
    <t>NG008018</t>
  </si>
  <si>
    <t>Mafa</t>
  </si>
  <si>
    <t>NG008019</t>
  </si>
  <si>
    <t>Magumeri</t>
  </si>
  <si>
    <t>NG008020</t>
  </si>
  <si>
    <t>Maiduguri</t>
  </si>
  <si>
    <t>NG008021</t>
  </si>
  <si>
    <t>Marte</t>
  </si>
  <si>
    <t>NG008022</t>
  </si>
  <si>
    <t>Mobbar</t>
  </si>
  <si>
    <t>NG008023</t>
  </si>
  <si>
    <t>Monguno</t>
  </si>
  <si>
    <t>NG008024</t>
  </si>
  <si>
    <t>Ngala</t>
  </si>
  <si>
    <t>NG008025</t>
  </si>
  <si>
    <t>Nganzai</t>
  </si>
  <si>
    <t>NG008026</t>
  </si>
  <si>
    <t>Shani</t>
  </si>
  <si>
    <t>NG008027</t>
  </si>
  <si>
    <t>Bade</t>
  </si>
  <si>
    <t>NG036001</t>
  </si>
  <si>
    <t>Bursari</t>
  </si>
  <si>
    <t>NG036002</t>
  </si>
  <si>
    <t>Damaturu</t>
  </si>
  <si>
    <t>NG036003</t>
  </si>
  <si>
    <t>Fika</t>
  </si>
  <si>
    <t>NG036004</t>
  </si>
  <si>
    <t>Fune</t>
  </si>
  <si>
    <t>NG036005</t>
  </si>
  <si>
    <t>Geidam</t>
  </si>
  <si>
    <t>NG036006</t>
  </si>
  <si>
    <t>Gujba</t>
  </si>
  <si>
    <t>NG036007</t>
  </si>
  <si>
    <t>Gulani</t>
  </si>
  <si>
    <t>NG036008</t>
  </si>
  <si>
    <t>Jakusko</t>
  </si>
  <si>
    <t>NG036009</t>
  </si>
  <si>
    <t>Karasuwa</t>
  </si>
  <si>
    <t>NG036010</t>
  </si>
  <si>
    <t>Machina</t>
  </si>
  <si>
    <t>NG036011</t>
  </si>
  <si>
    <t>Nangere</t>
  </si>
  <si>
    <t>NG036012</t>
  </si>
  <si>
    <t>Nguru</t>
  </si>
  <si>
    <t>NG036013</t>
  </si>
  <si>
    <t>Potiskum</t>
  </si>
  <si>
    <t>NG036014</t>
  </si>
  <si>
    <t>Tarmua</t>
  </si>
  <si>
    <t>NG036015</t>
  </si>
  <si>
    <t>Yunusari</t>
  </si>
  <si>
    <t>NG036016</t>
  </si>
  <si>
    <t>Yusufari</t>
  </si>
  <si>
    <t>NG036017</t>
  </si>
  <si>
    <t>A Lawant</t>
  </si>
  <si>
    <t>NG008022002</t>
  </si>
  <si>
    <t>Abbaram</t>
  </si>
  <si>
    <t>NG008003007</t>
  </si>
  <si>
    <t>Adarawo</t>
  </si>
  <si>
    <t>NG002021001</t>
  </si>
  <si>
    <t>Aduwa</t>
  </si>
  <si>
    <t>NG008010001</t>
  </si>
  <si>
    <t>Afunori</t>
  </si>
  <si>
    <t>NG036013001</t>
  </si>
  <si>
    <t>Afuye</t>
  </si>
  <si>
    <t>NG008008009</t>
  </si>
  <si>
    <t>Ajigin A</t>
  </si>
  <si>
    <t>NG008007001</t>
  </si>
  <si>
    <t>Ajigin B</t>
  </si>
  <si>
    <t>NG008007002</t>
  </si>
  <si>
    <t>Ajiri</t>
  </si>
  <si>
    <t>NG008016011</t>
  </si>
  <si>
    <t>NG008019002</t>
  </si>
  <si>
    <t>Ajiya</t>
  </si>
  <si>
    <t>NG002020001</t>
  </si>
  <si>
    <t>Ala</t>
  </si>
  <si>
    <t>NG008022001</t>
  </si>
  <si>
    <t>Alagarno</t>
  </si>
  <si>
    <t>NG008017001</t>
  </si>
  <si>
    <t>NG036005001</t>
  </si>
  <si>
    <t>Alarge</t>
  </si>
  <si>
    <t>NG008026001</t>
  </si>
  <si>
    <t>Alau</t>
  </si>
  <si>
    <t>NG008013001</t>
  </si>
  <si>
    <t>Alkalawa</t>
  </si>
  <si>
    <t>NG002020002</t>
  </si>
  <si>
    <t>Amchaka</t>
  </si>
  <si>
    <t>NG008003008</t>
  </si>
  <si>
    <t>Andara</t>
  </si>
  <si>
    <t>NG008003001</t>
  </si>
  <si>
    <t>Ardimini</t>
  </si>
  <si>
    <t>NG008009001</t>
  </si>
  <si>
    <t>Ardoram</t>
  </si>
  <si>
    <t>NG008020001</t>
  </si>
  <si>
    <t>Arege</t>
  </si>
  <si>
    <t>NG008001001</t>
  </si>
  <si>
    <t>Asaga</t>
  </si>
  <si>
    <t>NG008023001</t>
  </si>
  <si>
    <t>Asheikri 1</t>
  </si>
  <si>
    <t>NG036006001</t>
  </si>
  <si>
    <t>Asheikri 2</t>
  </si>
  <si>
    <t>NG036006002</t>
  </si>
  <si>
    <t>Ashigashiya</t>
  </si>
  <si>
    <t>NG008011001</t>
  </si>
  <si>
    <t>Askira East</t>
  </si>
  <si>
    <t>NG008002001</t>
  </si>
  <si>
    <t>Auno</t>
  </si>
  <si>
    <t>NG008016001</t>
  </si>
  <si>
    <t>Ayi Yasku</t>
  </si>
  <si>
    <t>NG008020002</t>
  </si>
  <si>
    <t>Azir Multe</t>
  </si>
  <si>
    <t>NG008007003</t>
  </si>
  <si>
    <t>Babangida</t>
  </si>
  <si>
    <t>NG036015001</t>
  </si>
  <si>
    <t>Badairi</t>
  </si>
  <si>
    <t>NG008022011</t>
  </si>
  <si>
    <t>Badu</t>
  </si>
  <si>
    <t>NG008026002</t>
  </si>
  <si>
    <t>Baga</t>
  </si>
  <si>
    <t>NG008017002</t>
  </si>
  <si>
    <t>Bahuli</t>
  </si>
  <si>
    <t>NG002014001</t>
  </si>
  <si>
    <t>Bajama</t>
  </si>
  <si>
    <t>NG002012001</t>
  </si>
  <si>
    <t>Bakari Goso</t>
  </si>
  <si>
    <t>NG002003001</t>
  </si>
  <si>
    <t>Bako</t>
  </si>
  <si>
    <t>NG002021002</t>
  </si>
  <si>
    <t>Bakta</t>
  </si>
  <si>
    <t>NG002017001</t>
  </si>
  <si>
    <t>Balbaya</t>
  </si>
  <si>
    <t>NG008004001</t>
  </si>
  <si>
    <t>Balle</t>
  </si>
  <si>
    <t>NG036006003</t>
  </si>
  <si>
    <t>Bangshika</t>
  </si>
  <si>
    <t>NG002007001</t>
  </si>
  <si>
    <t>Banjiram</t>
  </si>
  <si>
    <t>NG002006001</t>
  </si>
  <si>
    <t>Banki</t>
  </si>
  <si>
    <t>NG008003002</t>
  </si>
  <si>
    <t>Banowa</t>
  </si>
  <si>
    <t>NG008001002</t>
  </si>
  <si>
    <t>Bara</t>
  </si>
  <si>
    <t>NG036008001</t>
  </si>
  <si>
    <t>Bare</t>
  </si>
  <si>
    <t>NG002016001</t>
  </si>
  <si>
    <t>Bare Bari</t>
  </si>
  <si>
    <t>NG036014001</t>
  </si>
  <si>
    <t>Bargu</t>
  </si>
  <si>
    <t>NG008027001</t>
  </si>
  <si>
    <t>Barwati</t>
  </si>
  <si>
    <t>NG008017009</t>
  </si>
  <si>
    <t>Bayamari</t>
  </si>
  <si>
    <t>NG036002001</t>
  </si>
  <si>
    <t>Bazza Margi</t>
  </si>
  <si>
    <t>NG002013001</t>
  </si>
  <si>
    <t>Bebel</t>
  </si>
  <si>
    <t>NG002010001</t>
  </si>
  <si>
    <t>NG002011001</t>
  </si>
  <si>
    <t>Bego</t>
  </si>
  <si>
    <t>NG008007004</t>
  </si>
  <si>
    <t>Benisheikh</t>
  </si>
  <si>
    <t>NG008014002</t>
  </si>
  <si>
    <t>Beti</t>
  </si>
  <si>
    <t>NG002002001</t>
  </si>
  <si>
    <t>Betso</t>
  </si>
  <si>
    <t>NG002014002</t>
  </si>
  <si>
    <t>Bila Gusi</t>
  </si>
  <si>
    <t>NG008018002</t>
  </si>
  <si>
    <t>Bilingwi</t>
  </si>
  <si>
    <t>NG008012001</t>
  </si>
  <si>
    <t>Bille</t>
  </si>
  <si>
    <t>NG002001001</t>
  </si>
  <si>
    <t>Bindigari Pawari</t>
  </si>
  <si>
    <t>NG036003001</t>
  </si>
  <si>
    <t>Binyeri</t>
  </si>
  <si>
    <t>NG002012002</t>
  </si>
  <si>
    <t>Biriri</t>
  </si>
  <si>
    <t>NG036015002</t>
  </si>
  <si>
    <t>Bita Izge</t>
  </si>
  <si>
    <t>NG008011002</t>
  </si>
  <si>
    <t>Bobini</t>
  </si>
  <si>
    <t>NG002006002</t>
  </si>
  <si>
    <t>Boboshe</t>
  </si>
  <si>
    <t>NG008008001</t>
  </si>
  <si>
    <t>Bodeno</t>
  </si>
  <si>
    <t>NG002006003</t>
  </si>
  <si>
    <t>Bodwai</t>
  </si>
  <si>
    <t>NG002017002</t>
  </si>
  <si>
    <t>Boga</t>
  </si>
  <si>
    <t>NG002004001</t>
  </si>
  <si>
    <t>Bogo</t>
  </si>
  <si>
    <t>NG036011001</t>
  </si>
  <si>
    <t>Bogomari</t>
  </si>
  <si>
    <t>NG008003012</t>
  </si>
  <si>
    <t>Bogum</t>
  </si>
  <si>
    <t>NG008023002</t>
  </si>
  <si>
    <t>Bole Yolde Pate</t>
  </si>
  <si>
    <t>NG002021003</t>
  </si>
  <si>
    <t>Bolewa A</t>
  </si>
  <si>
    <t>NG036014002</t>
  </si>
  <si>
    <t>Bolewa B</t>
  </si>
  <si>
    <t>NG036014003</t>
  </si>
  <si>
    <t>Bolori I</t>
  </si>
  <si>
    <t>NG008021001</t>
  </si>
  <si>
    <t>Bolori II</t>
  </si>
  <si>
    <t>NG008021002</t>
  </si>
  <si>
    <t>Borgozo</t>
  </si>
  <si>
    <t>NG008014003</t>
  </si>
  <si>
    <t>Borko</t>
  </si>
  <si>
    <t>NG036006004</t>
  </si>
  <si>
    <t>Borno Kiji</t>
  </si>
  <si>
    <t>NG036005002</t>
  </si>
  <si>
    <t>Borno Yesu</t>
  </si>
  <si>
    <t>NG008020003</t>
  </si>
  <si>
    <t>Borrong</t>
  </si>
  <si>
    <t>NG002001002</t>
  </si>
  <si>
    <t>Borsori</t>
  </si>
  <si>
    <t>NG008022003</t>
  </si>
  <si>
    <t>Briyel</t>
  </si>
  <si>
    <t>NG008004002</t>
  </si>
  <si>
    <t>Buduwa</t>
  </si>
  <si>
    <t>NG036009001</t>
  </si>
  <si>
    <t>Bukarti</t>
  </si>
  <si>
    <t>NG036010001</t>
  </si>
  <si>
    <t>Bulabulin</t>
  </si>
  <si>
    <t>NG008011007</t>
  </si>
  <si>
    <t>NG008021003</t>
  </si>
  <si>
    <t>NG036013002</t>
  </si>
  <si>
    <t>Bulanguwa</t>
  </si>
  <si>
    <t>NG036013003</t>
  </si>
  <si>
    <t>Bularafa</t>
  </si>
  <si>
    <t>NG036008002</t>
  </si>
  <si>
    <t>Bulatura</t>
  </si>
  <si>
    <t>NG036017001</t>
  </si>
  <si>
    <t>Bultuwa</t>
  </si>
  <si>
    <t>NG036016001</t>
  </si>
  <si>
    <t>Buma</t>
  </si>
  <si>
    <t>NG008027002</t>
  </si>
  <si>
    <t>Bumsa</t>
  </si>
  <si>
    <t>NG036008003</t>
  </si>
  <si>
    <t>Bundur</t>
  </si>
  <si>
    <t>NG008017003</t>
  </si>
  <si>
    <t>Buni Gari</t>
  </si>
  <si>
    <t>NG036007001</t>
  </si>
  <si>
    <t>Buni Yadi</t>
  </si>
  <si>
    <t>NG036007002</t>
  </si>
  <si>
    <t>Buratai</t>
  </si>
  <si>
    <t>NG008005001</t>
  </si>
  <si>
    <t>Busuna</t>
  </si>
  <si>
    <t>NG008001006</t>
  </si>
  <si>
    <t>Bwalki</t>
  </si>
  <si>
    <t>NG002016002</t>
  </si>
  <si>
    <t>Chamba</t>
  </si>
  <si>
    <t>NG008023003</t>
  </si>
  <si>
    <t>Chikide</t>
  </si>
  <si>
    <t>NG008011009</t>
  </si>
  <si>
    <t>Chikila</t>
  </si>
  <si>
    <t>NG002006004</t>
  </si>
  <si>
    <t>Chilariye</t>
  </si>
  <si>
    <t>NG036012001</t>
  </si>
  <si>
    <t>Chukuriya</t>
  </si>
  <si>
    <t>NG036012002</t>
  </si>
  <si>
    <t>Dabira</t>
  </si>
  <si>
    <t>NG008009002</t>
  </si>
  <si>
    <t>Dabule</t>
  </si>
  <si>
    <t>NG036013004</t>
  </si>
  <si>
    <t>Dadingel</t>
  </si>
  <si>
    <t>NG036007003</t>
  </si>
  <si>
    <t>Dagona</t>
  </si>
  <si>
    <t>NG036001001</t>
  </si>
  <si>
    <t>Daima</t>
  </si>
  <si>
    <t>NG008015009</t>
  </si>
  <si>
    <t>Dakri</t>
  </si>
  <si>
    <t>NG002005001</t>
  </si>
  <si>
    <t>Daksiri</t>
  </si>
  <si>
    <t>NG002007002</t>
  </si>
  <si>
    <t>Dala</t>
  </si>
  <si>
    <t>NG008013003</t>
  </si>
  <si>
    <t>Dalori</t>
  </si>
  <si>
    <t>NG008016002</t>
  </si>
  <si>
    <t>Dalwa</t>
  </si>
  <si>
    <t>NG008016009</t>
  </si>
  <si>
    <t>Damagum A</t>
  </si>
  <si>
    <t>NG036005003</t>
  </si>
  <si>
    <t>Damagum B</t>
  </si>
  <si>
    <t>NG036005004</t>
  </si>
  <si>
    <t>Damai</t>
  </si>
  <si>
    <t>NG036011002</t>
  </si>
  <si>
    <t>Damakasu</t>
  </si>
  <si>
    <t>NG036003002</t>
  </si>
  <si>
    <t>Damakuli</t>
  </si>
  <si>
    <t>NG008024001</t>
  </si>
  <si>
    <t>Damaram</t>
  </si>
  <si>
    <t>NG008026003</t>
  </si>
  <si>
    <t>Damare</t>
  </si>
  <si>
    <t>NG002005002</t>
  </si>
  <si>
    <t>Damasak</t>
  </si>
  <si>
    <t>NG008023004</t>
  </si>
  <si>
    <t>Damaturu Central</t>
  </si>
  <si>
    <t>NG036003003</t>
  </si>
  <si>
    <t>Damboa Central</t>
  </si>
  <si>
    <t>NG008007005</t>
  </si>
  <si>
    <t>Danaba</t>
  </si>
  <si>
    <t>NG002008001</t>
  </si>
  <si>
    <t>Danani</t>
  </si>
  <si>
    <t>NG036002002</t>
  </si>
  <si>
    <t>Danchuwa</t>
  </si>
  <si>
    <t>NG036014004</t>
  </si>
  <si>
    <t>Dapchi</t>
  </si>
  <si>
    <t>NG036002003</t>
  </si>
  <si>
    <t>Darajamal</t>
  </si>
  <si>
    <t>NG008003003</t>
  </si>
  <si>
    <t>Daura A</t>
  </si>
  <si>
    <t>NG036005005</t>
  </si>
  <si>
    <t>Daura B</t>
  </si>
  <si>
    <t>NG036005006</t>
  </si>
  <si>
    <t>Dawasa</t>
  </si>
  <si>
    <t>NG036012003</t>
  </si>
  <si>
    <t>Dawayo</t>
  </si>
  <si>
    <t>NG036001002</t>
  </si>
  <si>
    <t>Dawo 1</t>
  </si>
  <si>
    <t>NG002019001</t>
  </si>
  <si>
    <t>Dawo 2</t>
  </si>
  <si>
    <t>NG002019002</t>
  </si>
  <si>
    <t>Dazigau</t>
  </si>
  <si>
    <t>NG036012004</t>
  </si>
  <si>
    <t>Degaltura</t>
  </si>
  <si>
    <t>NG036016002</t>
  </si>
  <si>
    <t>Degubi</t>
  </si>
  <si>
    <t>NG036012005</t>
  </si>
  <si>
    <t>Dekwa</t>
  </si>
  <si>
    <t>NG036016003</t>
  </si>
  <si>
    <t>NG002001003</t>
  </si>
  <si>
    <t>Digil</t>
  </si>
  <si>
    <t>NG002014003</t>
  </si>
  <si>
    <t>NG008008002</t>
  </si>
  <si>
    <t>Dilala</t>
  </si>
  <si>
    <t>NG036016004</t>
  </si>
  <si>
    <t>Dille Huyim</t>
  </si>
  <si>
    <t>NG008002003</t>
  </si>
  <si>
    <t>Dilli</t>
  </si>
  <si>
    <t>NG002001004</t>
  </si>
  <si>
    <t>Dirbishi</t>
  </si>
  <si>
    <t>NG002015001</t>
  </si>
  <si>
    <t>Dirma</t>
  </si>
  <si>
    <t>NG002018001</t>
  </si>
  <si>
    <t>Dogo Tebo</t>
  </si>
  <si>
    <t>NG036014005</t>
  </si>
  <si>
    <t>Dogoma</t>
  </si>
  <si>
    <t>NG008014004</t>
  </si>
  <si>
    <t>Dogon Nini</t>
  </si>
  <si>
    <t>NG036014006</t>
  </si>
  <si>
    <t>Dogoshi</t>
  </si>
  <si>
    <t>NG008017004</t>
  </si>
  <si>
    <t>Dokshi</t>
  </si>
  <si>
    <t>NG036008004</t>
  </si>
  <si>
    <t>Dole</t>
  </si>
  <si>
    <t>NG036011003</t>
  </si>
  <si>
    <t>Dong</t>
  </si>
  <si>
    <t>NG002001005</t>
  </si>
  <si>
    <t>Dongo</t>
  </si>
  <si>
    <t>NG008014005</t>
  </si>
  <si>
    <t>Doro</t>
  </si>
  <si>
    <t>NG008017005</t>
  </si>
  <si>
    <t>Doubeli</t>
  </si>
  <si>
    <t>NG002020003</t>
  </si>
  <si>
    <t>Dubange</t>
  </si>
  <si>
    <t>NG002009001</t>
  </si>
  <si>
    <t>Dudduye</t>
  </si>
  <si>
    <t>NG036012006</t>
  </si>
  <si>
    <t>Dugja</t>
  </si>
  <si>
    <t>NG008005003</t>
  </si>
  <si>
    <t>Duhu</t>
  </si>
  <si>
    <t>NG002010002</t>
  </si>
  <si>
    <t>Duji</t>
  </si>
  <si>
    <t>NG008023005</t>
  </si>
  <si>
    <t>Dukul</t>
  </si>
  <si>
    <t>NG002006005</t>
  </si>
  <si>
    <t>Dumbari</t>
  </si>
  <si>
    <t>NG036009002</t>
  </si>
  <si>
    <t>Dumna</t>
  </si>
  <si>
    <t>NG002006006</t>
  </si>
  <si>
    <t>Dumne</t>
  </si>
  <si>
    <t>NG002018002</t>
  </si>
  <si>
    <t>Dumsai</t>
  </si>
  <si>
    <t>NG036013005</t>
  </si>
  <si>
    <t>Dusuma</t>
  </si>
  <si>
    <t>NG008013004</t>
  </si>
  <si>
    <t>Duvu</t>
  </si>
  <si>
    <t>NG002015002</t>
  </si>
  <si>
    <t>Duwa</t>
  </si>
  <si>
    <t>NG002004002</t>
  </si>
  <si>
    <t>Dwam</t>
  </si>
  <si>
    <t>NG002001006</t>
  </si>
  <si>
    <t>Fai</t>
  </si>
  <si>
    <t>NG008014001</t>
  </si>
  <si>
    <t>Fajiganari</t>
  </si>
  <si>
    <t>NG036010002</t>
  </si>
  <si>
    <t>Falimaram</t>
  </si>
  <si>
    <t>NG036011004</t>
  </si>
  <si>
    <t>Farang</t>
  </si>
  <si>
    <t>NG002002002</t>
  </si>
  <si>
    <t>Felo</t>
  </si>
  <si>
    <t>NG008009003</t>
  </si>
  <si>
    <t>Fezzan</t>
  </si>
  <si>
    <t>NG008021004</t>
  </si>
  <si>
    <t>Fika Anze</t>
  </si>
  <si>
    <t>NG036004001</t>
  </si>
  <si>
    <t>Fikhayel</t>
  </si>
  <si>
    <t>NG008004003</t>
  </si>
  <si>
    <t>Foguwa</t>
  </si>
  <si>
    <t>NG008001003</t>
  </si>
  <si>
    <t>NG002002003</t>
  </si>
  <si>
    <t>Fukurti</t>
  </si>
  <si>
    <t>NG036006005</t>
  </si>
  <si>
    <t>Furram</t>
  </si>
  <si>
    <t>NG008020004</t>
  </si>
  <si>
    <t>Futchimiram</t>
  </si>
  <si>
    <t>NG036006006</t>
  </si>
  <si>
    <t>Futuless</t>
  </si>
  <si>
    <t>NG002013002</t>
  </si>
  <si>
    <t>Fuye</t>
  </si>
  <si>
    <t>NG008025001</t>
  </si>
  <si>
    <t>Gaanda</t>
  </si>
  <si>
    <t>NG002004003</t>
  </si>
  <si>
    <t>Gabai</t>
  </si>
  <si>
    <t>NG036008005</t>
  </si>
  <si>
    <t>Gabon</t>
  </si>
  <si>
    <t>NG002004004</t>
  </si>
  <si>
    <t>Gadai</t>
  </si>
  <si>
    <t>NG008026004</t>
  </si>
  <si>
    <t>Gadaka</t>
  </si>
  <si>
    <t>NG036004002</t>
  </si>
  <si>
    <t>Gagure</t>
  </si>
  <si>
    <t>NG036008006</t>
  </si>
  <si>
    <t>Gajibo</t>
  </si>
  <si>
    <t>NG008008003</t>
  </si>
  <si>
    <t>Gajigana</t>
  </si>
  <si>
    <t>NG008020005</t>
  </si>
  <si>
    <t>Gajiram</t>
  </si>
  <si>
    <t>NG008026005</t>
  </si>
  <si>
    <t>Galangi</t>
  </si>
  <si>
    <t>NG008014006</t>
  </si>
  <si>
    <t>Galdimari</t>
  </si>
  <si>
    <t>NG008005006</t>
  </si>
  <si>
    <t>Galtimari</t>
  </si>
  <si>
    <t>NG008013002</t>
  </si>
  <si>
    <t>Gamadadi</t>
  </si>
  <si>
    <t>NG008004004</t>
  </si>
  <si>
    <t>Gamadiyo</t>
  </si>
  <si>
    <t>NG002016003</t>
  </si>
  <si>
    <t>Gamawu</t>
  </si>
  <si>
    <t>NG008009004</t>
  </si>
  <si>
    <t>Gambir Moduri</t>
  </si>
  <si>
    <t>NG036003004</t>
  </si>
  <si>
    <t>Gamboru</t>
  </si>
  <si>
    <t>NG008021005</t>
  </si>
  <si>
    <t>Gamboru A</t>
  </si>
  <si>
    <t>NG008025007</t>
  </si>
  <si>
    <t>Gamboru B</t>
  </si>
  <si>
    <t>NG008025002</t>
  </si>
  <si>
    <t>Gamboru C</t>
  </si>
  <si>
    <t>NG008025003</t>
  </si>
  <si>
    <t>Gamu</t>
  </si>
  <si>
    <t>NG002003002</t>
  </si>
  <si>
    <t>Gang Fada</t>
  </si>
  <si>
    <t>NG002012003</t>
  </si>
  <si>
    <t>Ganye 1</t>
  </si>
  <si>
    <t>NG002003003</t>
  </si>
  <si>
    <t>Ganye 2</t>
  </si>
  <si>
    <t>NG002003004</t>
  </si>
  <si>
    <t>Garaha</t>
  </si>
  <si>
    <t>NG002007003</t>
  </si>
  <si>
    <t>Garin Gawo</t>
  </si>
  <si>
    <t>NG036010003</t>
  </si>
  <si>
    <t>Garin Tuwo</t>
  </si>
  <si>
    <t>NG036008007</t>
  </si>
  <si>
    <t>Garkida</t>
  </si>
  <si>
    <t>NG002004005</t>
  </si>
  <si>
    <t>Garta</t>
  </si>
  <si>
    <t>NG002013003</t>
  </si>
  <si>
    <t>Garu</t>
  </si>
  <si>
    <t>NG008006001</t>
  </si>
  <si>
    <t>NG036004003</t>
  </si>
  <si>
    <t>Garubula</t>
  </si>
  <si>
    <t>NG008005004</t>
  </si>
  <si>
    <t>Gashigar</t>
  </si>
  <si>
    <t>NG008023006</t>
  </si>
  <si>
    <t>Gasi</t>
  </si>
  <si>
    <t>NG008027003</t>
  </si>
  <si>
    <t>Gasma</t>
  </si>
  <si>
    <t>NG036010004</t>
  </si>
  <si>
    <t>Gatamarwa</t>
  </si>
  <si>
    <t>NG008006004</t>
  </si>
  <si>
    <t>Gava Agapalawa</t>
  </si>
  <si>
    <t>NG008011004</t>
  </si>
  <si>
    <t>Gawa</t>
  </si>
  <si>
    <t>NG008019003</t>
  </si>
  <si>
    <t>Gaya-sikalmi</t>
  </si>
  <si>
    <t>NG002007004</t>
  </si>
  <si>
    <t>Gazabure</t>
  </si>
  <si>
    <t>NG008009005</t>
  </si>
  <si>
    <t>Gella</t>
  </si>
  <si>
    <t>NG002015003</t>
  </si>
  <si>
    <t>Gengle</t>
  </si>
  <si>
    <t>NG002012004</t>
  </si>
  <si>
    <t>Gereng</t>
  </si>
  <si>
    <t>NG002005003</t>
  </si>
  <si>
    <t>Gidgid Bayam</t>
  </si>
  <si>
    <t>NG036009003</t>
  </si>
  <si>
    <t>Girei 1</t>
  </si>
  <si>
    <t>NG002005004</t>
  </si>
  <si>
    <t>Girei 2</t>
  </si>
  <si>
    <t>NG002005005</t>
  </si>
  <si>
    <t>Goduram</t>
  </si>
  <si>
    <t>NG036015003</t>
  </si>
  <si>
    <t>Gomari</t>
  </si>
  <si>
    <t>NG008013005</t>
  </si>
  <si>
    <t>Gombi North</t>
  </si>
  <si>
    <t>NG002004006</t>
  </si>
  <si>
    <t>Gombi South</t>
  </si>
  <si>
    <t>NG002004007</t>
  </si>
  <si>
    <t>Gongulong</t>
  </si>
  <si>
    <t>NG008013006</t>
  </si>
  <si>
    <t>Goniri</t>
  </si>
  <si>
    <t>NG008003009</t>
  </si>
  <si>
    <t>NG036007004</t>
  </si>
  <si>
    <t>Gora</t>
  </si>
  <si>
    <t>NG008027004</t>
  </si>
  <si>
    <t>Gorgoram</t>
  </si>
  <si>
    <t>NG036009004</t>
  </si>
  <si>
    <t>Gorobi</t>
  </si>
  <si>
    <t>NG002012005</t>
  </si>
  <si>
    <t>Gotala</t>
  </si>
  <si>
    <t>NG036007005</t>
  </si>
  <si>
    <t>Grim Damchoba</t>
  </si>
  <si>
    <t>NG008012002</t>
  </si>
  <si>
    <t>Guba Dapso</t>
  </si>
  <si>
    <t>NG036002004</t>
  </si>
  <si>
    <t>Gubio 1</t>
  </si>
  <si>
    <t>NG008009006</t>
  </si>
  <si>
    <t>Gubio 2</t>
  </si>
  <si>
    <t>NG008009007</t>
  </si>
  <si>
    <t>Gude</t>
  </si>
  <si>
    <t>NG002015004</t>
  </si>
  <si>
    <t>Gudi Dozi</t>
  </si>
  <si>
    <t>NG036004004</t>
  </si>
  <si>
    <t>Gudu Mboi</t>
  </si>
  <si>
    <t>NG002018003</t>
  </si>
  <si>
    <t>Guduf A&amp;B</t>
  </si>
  <si>
    <t>NG008011005</t>
  </si>
  <si>
    <t>Gudumbali East</t>
  </si>
  <si>
    <t>NG008010002</t>
  </si>
  <si>
    <t>Gudumbali West</t>
  </si>
  <si>
    <t>NG008010003</t>
  </si>
  <si>
    <t>NG036007006</t>
  </si>
  <si>
    <t>Guji Metalari</t>
  </si>
  <si>
    <t>NG036002005</t>
  </si>
  <si>
    <t>Gulak</t>
  </si>
  <si>
    <t>NG002010003</t>
  </si>
  <si>
    <t>NG036008008</t>
  </si>
  <si>
    <t>Gulumba</t>
  </si>
  <si>
    <t>NG008003004</t>
  </si>
  <si>
    <t>Gumna</t>
  </si>
  <si>
    <t>NG008022004</t>
  </si>
  <si>
    <t>Gumsa</t>
  </si>
  <si>
    <t>NG036006007</t>
  </si>
  <si>
    <t>Gumshi</t>
  </si>
  <si>
    <t>NG036017002</t>
  </si>
  <si>
    <t>Gumsuri</t>
  </si>
  <si>
    <t>NG008007006</t>
  </si>
  <si>
    <t>Gumti</t>
  </si>
  <si>
    <t>NG002019003</t>
  </si>
  <si>
    <t>Gunda</t>
  </si>
  <si>
    <t>NG008005002</t>
  </si>
  <si>
    <t>Gundo</t>
  </si>
  <si>
    <t>NG002017003</t>
  </si>
  <si>
    <t>Gur</t>
  </si>
  <si>
    <t>NG008005005</t>
  </si>
  <si>
    <t>Gurin</t>
  </si>
  <si>
    <t>NG002002004</t>
  </si>
  <si>
    <t>Gurumpawo</t>
  </si>
  <si>
    <t>NG002003005</t>
  </si>
  <si>
    <t>Guwal</t>
  </si>
  <si>
    <t>NG008018003</t>
  </si>
  <si>
    <t>Guwo</t>
  </si>
  <si>
    <t>NG008014007</t>
  </si>
  <si>
    <t>Guworam</t>
  </si>
  <si>
    <t>NG008010004</t>
  </si>
  <si>
    <t>Guya</t>
  </si>
  <si>
    <t>NG036017003</t>
  </si>
  <si>
    <t>Guyaku</t>
  </si>
  <si>
    <t>NG002004008</t>
  </si>
  <si>
    <t>NG002006007</t>
  </si>
  <si>
    <t>Guzamala East</t>
  </si>
  <si>
    <t>NG008010005</t>
  </si>
  <si>
    <t>Guzamala West</t>
  </si>
  <si>
    <t>NG008010006</t>
  </si>
  <si>
    <t>Gwadabawa</t>
  </si>
  <si>
    <t>NG002020004</t>
  </si>
  <si>
    <t>Gwalasho</t>
  </si>
  <si>
    <t>NG008027005</t>
  </si>
  <si>
    <t>Gwamba</t>
  </si>
  <si>
    <t>NG002001007</t>
  </si>
  <si>
    <t>Gwandi</t>
  </si>
  <si>
    <t>NG008018001</t>
  </si>
  <si>
    <t>Gwangang Chata</t>
  </si>
  <si>
    <t>NG008012003</t>
  </si>
  <si>
    <t>Gwange I</t>
  </si>
  <si>
    <t>NG008021006</t>
  </si>
  <si>
    <t>Gwange II</t>
  </si>
  <si>
    <t>NG008021007</t>
  </si>
  <si>
    <t>Gwange III</t>
  </si>
  <si>
    <t>NG008021008</t>
  </si>
  <si>
    <t>Gwapopolok</t>
  </si>
  <si>
    <t>NG002017004</t>
  </si>
  <si>
    <t>Gwaskara</t>
  </si>
  <si>
    <t>NG008027006</t>
  </si>
  <si>
    <t>Gwio-Kura</t>
  </si>
  <si>
    <t>NG036001003</t>
  </si>
  <si>
    <t>Gyawana</t>
  </si>
  <si>
    <t>NG002009002</t>
  </si>
  <si>
    <t>Hambagda</t>
  </si>
  <si>
    <t>NG008011008</t>
  </si>
  <si>
    <t>Hausari</t>
  </si>
  <si>
    <t>NG008011006</t>
  </si>
  <si>
    <t>NG008021009</t>
  </si>
  <si>
    <t>NG036006008</t>
  </si>
  <si>
    <t>NG036013006</t>
  </si>
  <si>
    <t>Hausari Tampul</t>
  </si>
  <si>
    <t>NG008002004</t>
  </si>
  <si>
    <t>Hausari Zadawa</t>
  </si>
  <si>
    <t>NG008002013</t>
  </si>
  <si>
    <t>Hausawa Asibiti</t>
  </si>
  <si>
    <t>NG036014007</t>
  </si>
  <si>
    <t>Hildi</t>
  </si>
  <si>
    <t>NG002007005</t>
  </si>
  <si>
    <t>Hizhibwala</t>
  </si>
  <si>
    <t>NG008012004</t>
  </si>
  <si>
    <t>NG002007006</t>
  </si>
  <si>
    <t>Hoserezum</t>
  </si>
  <si>
    <t>NG002007007</t>
  </si>
  <si>
    <t>Hoyo Chingowa</t>
  </si>
  <si>
    <t>NG008020007</t>
  </si>
  <si>
    <t>Humbutudi</t>
  </si>
  <si>
    <t>NG002011002</t>
  </si>
  <si>
    <t>Hyambula</t>
  </si>
  <si>
    <t>NG002010004</t>
  </si>
  <si>
    <t>Imburu</t>
  </si>
  <si>
    <t>NG002016004</t>
  </si>
  <si>
    <t>Jaba</t>
  </si>
  <si>
    <t>NG036009005</t>
  </si>
  <si>
    <t>Jabullam</t>
  </si>
  <si>
    <t>NG008001004</t>
  </si>
  <si>
    <t>Jada 1</t>
  </si>
  <si>
    <t>NG002008002</t>
  </si>
  <si>
    <t>Jada 2</t>
  </si>
  <si>
    <t>NG002008003</t>
  </si>
  <si>
    <t>Jaggu</t>
  </si>
  <si>
    <t>NG002003006</t>
  </si>
  <si>
    <t>Jajere</t>
  </si>
  <si>
    <t>NG036005007</t>
  </si>
  <si>
    <t>Jajeri</t>
  </si>
  <si>
    <t>NG036010005</t>
  </si>
  <si>
    <t>Jaji Maji</t>
  </si>
  <si>
    <t>NG036010006</t>
  </si>
  <si>
    <t>Jakana</t>
  </si>
  <si>
    <t>NG008016004</t>
  </si>
  <si>
    <t>NG036009006</t>
  </si>
  <si>
    <t>Jambutu</t>
  </si>
  <si>
    <t>NG002020005</t>
  </si>
  <si>
    <t>Janga</t>
  </si>
  <si>
    <t>NG036004005</t>
  </si>
  <si>
    <t>Jara-Dali</t>
  </si>
  <si>
    <t>NG008004005</t>
  </si>
  <si>
    <t>Jara-Gol</t>
  </si>
  <si>
    <t>NG008004006</t>
  </si>
  <si>
    <t>Jarawa</t>
  </si>
  <si>
    <t>NG008015001</t>
  </si>
  <si>
    <t>Jawa G Dole</t>
  </si>
  <si>
    <t>NG036002006</t>
  </si>
  <si>
    <t>Jawur Katamma</t>
  </si>
  <si>
    <t>NG036009007</t>
  </si>
  <si>
    <t>Jebuwa</t>
  </si>
  <si>
    <t>NG036017004</t>
  </si>
  <si>
    <t>Jera Bakari</t>
  </si>
  <si>
    <t>NG002005006</t>
  </si>
  <si>
    <t>Jera Bonyo</t>
  </si>
  <si>
    <t>NG002005007</t>
  </si>
  <si>
    <t>Jereng</t>
  </si>
  <si>
    <t>NG002012008</t>
  </si>
  <si>
    <t>Jigalambu</t>
  </si>
  <si>
    <t>NG002013004</t>
  </si>
  <si>
    <t>Jigalta</t>
  </si>
  <si>
    <t>NG008026006</t>
  </si>
  <si>
    <t>Jilbe</t>
  </si>
  <si>
    <t>NG008015002</t>
  </si>
  <si>
    <t>Jororo</t>
  </si>
  <si>
    <t>NG036006009</t>
  </si>
  <si>
    <t>Juluri Damnawa</t>
  </si>
  <si>
    <t>NG036002007</t>
  </si>
  <si>
    <t>Jumbam</t>
  </si>
  <si>
    <t>NG036015004</t>
  </si>
  <si>
    <t>Jumbul</t>
  </si>
  <si>
    <t>NG002017005</t>
  </si>
  <si>
    <t>K Kaudi</t>
  </si>
  <si>
    <t>NG008015003</t>
  </si>
  <si>
    <t>K Kumaga</t>
  </si>
  <si>
    <t>NG008015005</t>
  </si>
  <si>
    <t>Kabulawa</t>
  </si>
  <si>
    <t>NG008022005</t>
  </si>
  <si>
    <t>Kafa Mafi</t>
  </si>
  <si>
    <t>NG008007007</t>
  </si>
  <si>
    <t>Kafiya</t>
  </si>
  <si>
    <t>NG036016005</t>
  </si>
  <si>
    <t>Kaguram</t>
  </si>
  <si>
    <t>NG008024002</t>
  </si>
  <si>
    <t>Kala</t>
  </si>
  <si>
    <t>NG008015004</t>
  </si>
  <si>
    <t>Kalallawa Gabai</t>
  </si>
  <si>
    <t>NG036003005</t>
  </si>
  <si>
    <t>Kaliyari</t>
  </si>
  <si>
    <t>NG036002008</t>
  </si>
  <si>
    <t>Kalizoram</t>
  </si>
  <si>
    <t>NG008020008</t>
  </si>
  <si>
    <t>Kanuri</t>
  </si>
  <si>
    <t>NG036013007</t>
  </si>
  <si>
    <t>Karagawaru</t>
  </si>
  <si>
    <t>NG008014008</t>
  </si>
  <si>
    <t>Kararam</t>
  </si>
  <si>
    <t>NG008020009</t>
  </si>
  <si>
    <t>Karasuwa Galu</t>
  </si>
  <si>
    <t>NG036010007</t>
  </si>
  <si>
    <t>Karauswa Garu Guna</t>
  </si>
  <si>
    <t>NG036010008</t>
  </si>
  <si>
    <t>Kareto</t>
  </si>
  <si>
    <t>NG008023007</t>
  </si>
  <si>
    <t>Karewa</t>
  </si>
  <si>
    <t>NG002020006</t>
  </si>
  <si>
    <t>Karlahi</t>
  </si>
  <si>
    <t>NG002002005</t>
  </si>
  <si>
    <t>Kasugula</t>
  </si>
  <si>
    <t>NG008003005</t>
  </si>
  <si>
    <t>Katuzu</t>
  </si>
  <si>
    <t>NG036001004</t>
  </si>
  <si>
    <t>Kautikari</t>
  </si>
  <si>
    <t>NG008006005</t>
  </si>
  <si>
    <t>Kauwa</t>
  </si>
  <si>
    <t>NG008017006</t>
  </si>
  <si>
    <t>Kawuri</t>
  </si>
  <si>
    <t>NG008016005</t>
  </si>
  <si>
    <t>Kayeri</t>
  </si>
  <si>
    <t>NG036005008</t>
  </si>
  <si>
    <t>Kekeno</t>
  </si>
  <si>
    <t>NG008017007</t>
  </si>
  <si>
    <t>Kessa'A</t>
  </si>
  <si>
    <t>NG008001007</t>
  </si>
  <si>
    <t>Ketembere</t>
  </si>
  <si>
    <t>NG002017006</t>
  </si>
  <si>
    <t>Khadammari</t>
  </si>
  <si>
    <t>NG008013010</t>
  </si>
  <si>
    <t>Kidda</t>
  </si>
  <si>
    <t>NG008012005</t>
  </si>
  <si>
    <t>Kilange Funa</t>
  </si>
  <si>
    <t>NG002018004</t>
  </si>
  <si>
    <t>Kilange Hirna</t>
  </si>
  <si>
    <t>NG002018005</t>
  </si>
  <si>
    <t>Kingarawa</t>
  </si>
  <si>
    <t>NG008010007</t>
  </si>
  <si>
    <t>Kingowa</t>
  </si>
  <si>
    <t>NG008009008</t>
  </si>
  <si>
    <t>Kirawa</t>
  </si>
  <si>
    <t>NG008011010</t>
  </si>
  <si>
    <t>Kirchinga</t>
  </si>
  <si>
    <t>NG002010005</t>
  </si>
  <si>
    <t>Kirenowa</t>
  </si>
  <si>
    <t>NG008022006</t>
  </si>
  <si>
    <t>Kiri</t>
  </si>
  <si>
    <t>NG002017007</t>
  </si>
  <si>
    <t>Kiri 1</t>
  </si>
  <si>
    <t>NG002019004</t>
  </si>
  <si>
    <t>Kiri 2</t>
  </si>
  <si>
    <t>NG002019005</t>
  </si>
  <si>
    <t>Kodomti</t>
  </si>
  <si>
    <t>NG002016005</t>
  </si>
  <si>
    <t>Kogin Baba 1</t>
  </si>
  <si>
    <t>NG002019006</t>
  </si>
  <si>
    <t>Kogin Baba 2</t>
  </si>
  <si>
    <t>NG002019007</t>
  </si>
  <si>
    <t>Kola</t>
  </si>
  <si>
    <t>NG002006008</t>
  </si>
  <si>
    <t>Kolere</t>
  </si>
  <si>
    <t>NG002014004</t>
  </si>
  <si>
    <t>Kollere Kafaje</t>
  </si>
  <si>
    <t>NG036005009</t>
  </si>
  <si>
    <t>Koma 1</t>
  </si>
  <si>
    <t>NG002008004</t>
  </si>
  <si>
    <t>Koma 2</t>
  </si>
  <si>
    <t>NG002008005</t>
  </si>
  <si>
    <t>Kombo</t>
  </si>
  <si>
    <t>NG008027007</t>
  </si>
  <si>
    <t>NG008016007</t>
  </si>
  <si>
    <t>Konkol</t>
  </si>
  <si>
    <t>NG002011003</t>
  </si>
  <si>
    <t>Konkomma</t>
  </si>
  <si>
    <t>NG036011005</t>
  </si>
  <si>
    <t>Koriyel</t>
  </si>
  <si>
    <t>NG036015005</t>
  </si>
  <si>
    <t>Korongilum</t>
  </si>
  <si>
    <t>NG008006006</t>
  </si>
  <si>
    <t>Koshebe</t>
  </si>
  <si>
    <t>NG008019004</t>
  </si>
  <si>
    <t>Kpasham</t>
  </si>
  <si>
    <t>NG002001008</t>
  </si>
  <si>
    <t>Kubo</t>
  </si>
  <si>
    <t>NG008027008</t>
  </si>
  <si>
    <t>Kubuku</t>
  </si>
  <si>
    <t>NG008018004</t>
  </si>
  <si>
    <t>Kuburmbula</t>
  </si>
  <si>
    <t>NG008006007</t>
  </si>
  <si>
    <t>Kuda</t>
  </si>
  <si>
    <t>NG008026007</t>
  </si>
  <si>
    <t>Kudokurgo</t>
  </si>
  <si>
    <t>NG008001005</t>
  </si>
  <si>
    <t>Kukareta Warsala</t>
  </si>
  <si>
    <t>NG036003006</t>
  </si>
  <si>
    <t>NG008017008</t>
  </si>
  <si>
    <t>Kukayasku</t>
  </si>
  <si>
    <t>NG036011006</t>
  </si>
  <si>
    <t>Kukuri</t>
  </si>
  <si>
    <t>NG036012007</t>
  </si>
  <si>
    <t>Kulli</t>
  </si>
  <si>
    <t>NG008022007</t>
  </si>
  <si>
    <t>Kumagannam</t>
  </si>
  <si>
    <t>NG036017005</t>
  </si>
  <si>
    <t>Kumalia</t>
  </si>
  <si>
    <t>NG008024003</t>
  </si>
  <si>
    <t>Kumshe</t>
  </si>
  <si>
    <t>NG008003006</t>
  </si>
  <si>
    <t>Kupti</t>
  </si>
  <si>
    <t>NG008020010</t>
  </si>
  <si>
    <t>Kuranabasa</t>
  </si>
  <si>
    <t>NG008011011</t>
  </si>
  <si>
    <t>Kurba Gayi</t>
  </si>
  <si>
    <t>NG008018005</t>
  </si>
  <si>
    <t>Kurnawa</t>
  </si>
  <si>
    <t>NG008026008</t>
  </si>
  <si>
    <t>NG036002009</t>
  </si>
  <si>
    <t>Kushimaga</t>
  </si>
  <si>
    <t>NG036008009</t>
  </si>
  <si>
    <t>Kusur</t>
  </si>
  <si>
    <t>NG036006010</t>
  </si>
  <si>
    <t>Kwaja</t>
  </si>
  <si>
    <t>NG002015005</t>
  </si>
  <si>
    <t>Kwajaffa</t>
  </si>
  <si>
    <t>NG008012006</t>
  </si>
  <si>
    <t>Kwarhi</t>
  </si>
  <si>
    <t>NG002007008</t>
  </si>
  <si>
    <t>NG008018006</t>
  </si>
  <si>
    <t>Kwayabura</t>
  </si>
  <si>
    <t>NG008012007</t>
  </si>
  <si>
    <t>Lafiya</t>
  </si>
  <si>
    <t>NG002009003</t>
  </si>
  <si>
    <t>Lafiya Loi Loi</t>
  </si>
  <si>
    <t>NG036009008</t>
  </si>
  <si>
    <t>Lakundum</t>
  </si>
  <si>
    <t>NG008027009</t>
  </si>
  <si>
    <t>Lamisu</t>
  </si>
  <si>
    <t>NG036011007</t>
  </si>
  <si>
    <t>Lamisula</t>
  </si>
  <si>
    <t>NG008021010</t>
  </si>
  <si>
    <t>NG002009004</t>
  </si>
  <si>
    <t>NG002015006</t>
  </si>
  <si>
    <t>Langawa Darin</t>
  </si>
  <si>
    <t>NG036012008</t>
  </si>
  <si>
    <t>Lantaiwa</t>
  </si>
  <si>
    <t>NG036015006</t>
  </si>
  <si>
    <t>Lassa</t>
  </si>
  <si>
    <t>NG008002006</t>
  </si>
  <si>
    <t>Lawan Fannami</t>
  </si>
  <si>
    <t>NG036001005</t>
  </si>
  <si>
    <t>Lawan Musa</t>
  </si>
  <si>
    <t>NG036001006</t>
  </si>
  <si>
    <t>Layi</t>
  </si>
  <si>
    <t>NG008023008</t>
  </si>
  <si>
    <t>Lege</t>
  </si>
  <si>
    <t>NG008019005</t>
  </si>
  <si>
    <t>Leko</t>
  </si>
  <si>
    <t>NG002008006</t>
  </si>
  <si>
    <t>Libbo</t>
  </si>
  <si>
    <t>NG002017008</t>
  </si>
  <si>
    <t>Likama</t>
  </si>
  <si>
    <t>NG008006002</t>
  </si>
  <si>
    <t>Limanti</t>
  </si>
  <si>
    <t>NG008004007</t>
  </si>
  <si>
    <t>NG008019006</t>
  </si>
  <si>
    <t>NG008021011</t>
  </si>
  <si>
    <t>Limawa</t>
  </si>
  <si>
    <t>NG002020007</t>
  </si>
  <si>
    <t>Logumane</t>
  </si>
  <si>
    <t>NG008025004</t>
  </si>
  <si>
    <t>Lokoro</t>
  </si>
  <si>
    <t>NG002006009</t>
  </si>
  <si>
    <t>Lokuwa</t>
  </si>
  <si>
    <t>NG002014005</t>
  </si>
  <si>
    <t>Loskuri</t>
  </si>
  <si>
    <t>NG008019007</t>
  </si>
  <si>
    <t>Luggere</t>
  </si>
  <si>
    <t>NG002020008</t>
  </si>
  <si>
    <t>M. Kaza</t>
  </si>
  <si>
    <t>NG008008006</t>
  </si>
  <si>
    <t>M. Maja</t>
  </si>
  <si>
    <t>NG008008005</t>
  </si>
  <si>
    <t>Ma'Afa</t>
  </si>
  <si>
    <t>NG008019008</t>
  </si>
  <si>
    <t>Ma'Anna</t>
  </si>
  <si>
    <t>NG036006011</t>
  </si>
  <si>
    <t>NG036011008</t>
  </si>
  <si>
    <t>Mada</t>
  </si>
  <si>
    <t>NG008015006</t>
  </si>
  <si>
    <t>NG002010006</t>
  </si>
  <si>
    <t>Madzi</t>
  </si>
  <si>
    <t>NG002013005</t>
  </si>
  <si>
    <t>NG008019009</t>
  </si>
  <si>
    <t>NG036015007</t>
  </si>
  <si>
    <t>Mafoni</t>
  </si>
  <si>
    <t>NG008021012</t>
  </si>
  <si>
    <t>NG008020011</t>
  </si>
  <si>
    <t>Maiha Gari</t>
  </si>
  <si>
    <t>NG002011004</t>
  </si>
  <si>
    <t>Maimalari</t>
  </si>
  <si>
    <t>NG036017006</t>
  </si>
  <si>
    <t>Maimusari</t>
  </si>
  <si>
    <t>NG008013007</t>
  </si>
  <si>
    <t>Mainok</t>
  </si>
  <si>
    <t>NG008014009</t>
  </si>
  <si>
    <t>Mairari</t>
  </si>
  <si>
    <t>NG008010008</t>
  </si>
  <si>
    <t>NG036016006</t>
  </si>
  <si>
    <t>Mairi</t>
  </si>
  <si>
    <t>NG008013008</t>
  </si>
  <si>
    <t>Maisandari</t>
  </si>
  <si>
    <t>NG008021013</t>
  </si>
  <si>
    <t>Maisandari Wi</t>
  </si>
  <si>
    <t>NG036003007</t>
  </si>
  <si>
    <t>Maiwa</t>
  </si>
  <si>
    <t>NG008026009</t>
  </si>
  <si>
    <t>Maja Kura</t>
  </si>
  <si>
    <t>NG036013008</t>
  </si>
  <si>
    <t>Makama A</t>
  </si>
  <si>
    <t>NG002021004</t>
  </si>
  <si>
    <t>Makama B</t>
  </si>
  <si>
    <t>NG002021005</t>
  </si>
  <si>
    <t>Malari</t>
  </si>
  <si>
    <t>NG008016003</t>
  </si>
  <si>
    <t>Mamudo</t>
  </si>
  <si>
    <t>NG036014008</t>
  </si>
  <si>
    <t>Manda Da'A</t>
  </si>
  <si>
    <t>NG036015008</t>
  </si>
  <si>
    <t>Mandala</t>
  </si>
  <si>
    <t>NG008024004</t>
  </si>
  <si>
    <t>Mandaragirau</t>
  </si>
  <si>
    <t>NG008005007</t>
  </si>
  <si>
    <t>Mandunari</t>
  </si>
  <si>
    <t>NG036007007</t>
  </si>
  <si>
    <t>Manjekin</t>
  </si>
  <si>
    <t>NG002011005</t>
  </si>
  <si>
    <t>Mapeo</t>
  </si>
  <si>
    <t>NG002008007</t>
  </si>
  <si>
    <t>Marama Kidang</t>
  </si>
  <si>
    <t>NG008012008</t>
  </si>
  <si>
    <t>Margata</t>
  </si>
  <si>
    <t>NG008008004</t>
  </si>
  <si>
    <t>Marguba</t>
  </si>
  <si>
    <t>NG008014010</t>
  </si>
  <si>
    <t>Marmari Gudugurka</t>
  </si>
  <si>
    <t>NG036005010</t>
  </si>
  <si>
    <t>NG008022008</t>
  </si>
  <si>
    <t>Masaba</t>
  </si>
  <si>
    <t>NG036002010</t>
  </si>
  <si>
    <t>Mashamari</t>
  </si>
  <si>
    <t>NG008013009</t>
  </si>
  <si>
    <t>Mashio</t>
  </si>
  <si>
    <t>NG036005011</t>
  </si>
  <si>
    <t>Maskandare</t>
  </si>
  <si>
    <t>NG036011009</t>
  </si>
  <si>
    <t>Masu</t>
  </si>
  <si>
    <t>NG008019010</t>
  </si>
  <si>
    <t>Mayo Bani</t>
  </si>
  <si>
    <t>NG002014006</t>
  </si>
  <si>
    <t>Mayo Farang</t>
  </si>
  <si>
    <t>NG002012006</t>
  </si>
  <si>
    <t>Mayo Inne</t>
  </si>
  <si>
    <t>NG002002006</t>
  </si>
  <si>
    <t>Mayo Kalaye</t>
  </si>
  <si>
    <t>NG002008008</t>
  </si>
  <si>
    <t>Mayo Lope</t>
  </si>
  <si>
    <t>NG002007009</t>
  </si>
  <si>
    <t>Mayo Nguli</t>
  </si>
  <si>
    <t>NG002011006</t>
  </si>
  <si>
    <t>Mayori</t>
  </si>
  <si>
    <t>NG036017007</t>
  </si>
  <si>
    <t>Mbalala</t>
  </si>
  <si>
    <t>NG008006008</t>
  </si>
  <si>
    <t>Mbamba</t>
  </si>
  <si>
    <t>NG002021006</t>
  </si>
  <si>
    <t>Mbamoi</t>
  </si>
  <si>
    <t>NG002021007</t>
  </si>
  <si>
    <t>Mbilla</t>
  </si>
  <si>
    <t>NG002012007</t>
  </si>
  <si>
    <t>Mbokura</t>
  </si>
  <si>
    <t>NG008006009</t>
  </si>
  <si>
    <t>Mbula</t>
  </si>
  <si>
    <t>NG002001009</t>
  </si>
  <si>
    <t>Mbullo</t>
  </si>
  <si>
    <t>NG002008009</t>
  </si>
  <si>
    <t>Michika 1</t>
  </si>
  <si>
    <t>NG002013006</t>
  </si>
  <si>
    <t>Michika 2</t>
  </si>
  <si>
    <t>NG002013007</t>
  </si>
  <si>
    <t>Mijilu</t>
  </si>
  <si>
    <t>NG002014007</t>
  </si>
  <si>
    <t>Mintar</t>
  </si>
  <si>
    <t>NG008024005</t>
  </si>
  <si>
    <t>Miringa</t>
  </si>
  <si>
    <t>NG008005008</t>
  </si>
  <si>
    <t>Miye</t>
  </si>
  <si>
    <t>NG008026010</t>
  </si>
  <si>
    <t>Moda/Dlaka</t>
  </si>
  <si>
    <t>NG002013009</t>
  </si>
  <si>
    <t>Modire</t>
  </si>
  <si>
    <t>NG002005008</t>
  </si>
  <si>
    <t>Moduri</t>
  </si>
  <si>
    <t>NG008010009</t>
  </si>
  <si>
    <t>Mofio</t>
  </si>
  <si>
    <t>NG008024006</t>
  </si>
  <si>
    <t>Moholo</t>
  </si>
  <si>
    <t>NG008015007</t>
  </si>
  <si>
    <t>NG008024007</t>
  </si>
  <si>
    <t>Mozogun</t>
  </si>
  <si>
    <t>NG036016007</t>
  </si>
  <si>
    <t>Mubi Fussami</t>
  </si>
  <si>
    <t>NG036004006</t>
  </si>
  <si>
    <t>Muchalla</t>
  </si>
  <si>
    <t>NG002014008</t>
  </si>
  <si>
    <t>Mugulbu</t>
  </si>
  <si>
    <t>NG002015007</t>
  </si>
  <si>
    <t>Muguram</t>
  </si>
  <si>
    <t>NG036009009</t>
  </si>
  <si>
    <t>Mujara</t>
  </si>
  <si>
    <t>NG002015008</t>
  </si>
  <si>
    <t>Mujigine</t>
  </si>
  <si>
    <t>NG008019011</t>
  </si>
  <si>
    <t>Mulgo Kopchi</t>
  </si>
  <si>
    <t>NG008007008</t>
  </si>
  <si>
    <t>Muliye</t>
  </si>
  <si>
    <t>NG008008007</t>
  </si>
  <si>
    <t>Munkavachitta</t>
  </si>
  <si>
    <t>NG002013010</t>
  </si>
  <si>
    <t>Murfakalam</t>
  </si>
  <si>
    <t>NG036003008</t>
  </si>
  <si>
    <t>Mussa</t>
  </si>
  <si>
    <t>NG008002007</t>
  </si>
  <si>
    <t>Musune</t>
  </si>
  <si>
    <t>NG008022010</t>
  </si>
  <si>
    <t>Mutai</t>
  </si>
  <si>
    <t>NG036007008</t>
  </si>
  <si>
    <t>Muwalli</t>
  </si>
  <si>
    <t>NG008022009</t>
  </si>
  <si>
    <t>Namtari</t>
  </si>
  <si>
    <t>NG002021008</t>
  </si>
  <si>
    <t>NG036012009</t>
  </si>
  <si>
    <t>Nassarawo</t>
  </si>
  <si>
    <t>NG002015009</t>
  </si>
  <si>
    <t>NG002020009</t>
  </si>
  <si>
    <t>Nassarawo Demsa</t>
  </si>
  <si>
    <t>NG002001010</t>
  </si>
  <si>
    <t>Nayinawa</t>
  </si>
  <si>
    <t>NG036003009</t>
  </si>
  <si>
    <t>Ndikong</t>
  </si>
  <si>
    <t>NG002012009</t>
  </si>
  <si>
    <t>Ndufu</t>
  </si>
  <si>
    <t>NG008025005</t>
  </si>
  <si>
    <t>Nduku</t>
  </si>
  <si>
    <t>NG002015010</t>
  </si>
  <si>
    <t>NG008025006</t>
  </si>
  <si>
    <t>Ngalda</t>
  </si>
  <si>
    <t>NG036004007</t>
  </si>
  <si>
    <t>Ngamdu</t>
  </si>
  <si>
    <t>NG008014011</t>
  </si>
  <si>
    <t>Ngamma</t>
  </si>
  <si>
    <t>NG008020012</t>
  </si>
  <si>
    <t>Ngarbi</t>
  </si>
  <si>
    <t>NG036013009</t>
  </si>
  <si>
    <t>Ngbakawo</t>
  </si>
  <si>
    <t>NG002009006</t>
  </si>
  <si>
    <t>Ngbebogun</t>
  </si>
  <si>
    <t>NG002009005</t>
  </si>
  <si>
    <t>Ngelzarma A</t>
  </si>
  <si>
    <t>NG036005012</t>
  </si>
  <si>
    <t>Ngelzarma B</t>
  </si>
  <si>
    <t>NG036005013</t>
  </si>
  <si>
    <t>Ngetra</t>
  </si>
  <si>
    <t>NG008009009</t>
  </si>
  <si>
    <t>Nglaiwa</t>
  </si>
  <si>
    <t>NG036013010</t>
  </si>
  <si>
    <t>Ngohi</t>
  </si>
  <si>
    <t>NG008002008</t>
  </si>
  <si>
    <t>Ngojin</t>
  </si>
  <si>
    <t>NG036014009</t>
  </si>
  <si>
    <t>Ngoshe</t>
  </si>
  <si>
    <t>NG008011012</t>
  </si>
  <si>
    <t>Ngubala Bamma</t>
  </si>
  <si>
    <t>NG008020013</t>
  </si>
  <si>
    <t>Ngudoram</t>
  </si>
  <si>
    <t>NG008008008</t>
  </si>
  <si>
    <t>Ngulde</t>
  </si>
  <si>
    <t>NG008002009</t>
  </si>
  <si>
    <t>Ngurbuwa</t>
  </si>
  <si>
    <t>NG036007009</t>
  </si>
  <si>
    <t>Ngurno</t>
  </si>
  <si>
    <t>NG008024008</t>
  </si>
  <si>
    <t>Ngurore</t>
  </si>
  <si>
    <t>NG002021009</t>
  </si>
  <si>
    <t>Ngurthlavu Kopa</t>
  </si>
  <si>
    <t>NG008002005</t>
  </si>
  <si>
    <t>Ninkisi/Wuro Ngiki</t>
  </si>
  <si>
    <t>NG002013008</t>
  </si>
  <si>
    <t>Njibulwa</t>
  </si>
  <si>
    <t>NG036008010</t>
  </si>
  <si>
    <t>Njine</t>
  </si>
  <si>
    <t>NG008022012</t>
  </si>
  <si>
    <t>Njiwaji Gwange</t>
  </si>
  <si>
    <t>NG036003010</t>
  </si>
  <si>
    <t>Numan 1</t>
  </si>
  <si>
    <t>NG002016006</t>
  </si>
  <si>
    <t>Numan 2</t>
  </si>
  <si>
    <t>NG002016007</t>
  </si>
  <si>
    <t>Numan 3</t>
  </si>
  <si>
    <t>NG002016008</t>
  </si>
  <si>
    <t>Nyibago</t>
  </si>
  <si>
    <t>NG002008010</t>
  </si>
  <si>
    <t>Nzuda Wuyaram</t>
  </si>
  <si>
    <t>NG008007009</t>
  </si>
  <si>
    <t>Old Maiduguri</t>
  </si>
  <si>
    <t>NG008013011</t>
  </si>
  <si>
    <t>Opalo</t>
  </si>
  <si>
    <t>NG002009007</t>
  </si>
  <si>
    <t>Pakka</t>
  </si>
  <si>
    <t>NG002011007</t>
  </si>
  <si>
    <t>Pallam</t>
  </si>
  <si>
    <t>NG002010007</t>
  </si>
  <si>
    <t>Pama Whitambaya</t>
  </si>
  <si>
    <t>NG008012009</t>
  </si>
  <si>
    <t>Pariya</t>
  </si>
  <si>
    <t>NG002002007</t>
  </si>
  <si>
    <t>Pemi</t>
  </si>
  <si>
    <t>NG008006010</t>
  </si>
  <si>
    <t>Peta</t>
  </si>
  <si>
    <t>NG008018007</t>
  </si>
  <si>
    <t>Puba Vidau</t>
  </si>
  <si>
    <t>NG008012010</t>
  </si>
  <si>
    <t>Pulka Bokko</t>
  </si>
  <si>
    <t>NG008011013</t>
  </si>
  <si>
    <t>Purakayo</t>
  </si>
  <si>
    <t>NG002006010</t>
  </si>
  <si>
    <t>Rann</t>
  </si>
  <si>
    <t>NG008015008</t>
  </si>
  <si>
    <t>Ribadu</t>
  </si>
  <si>
    <t>NG002002008</t>
  </si>
  <si>
    <t>NG002012010</t>
  </si>
  <si>
    <t>Rigange</t>
  </si>
  <si>
    <t>NG002009008</t>
  </si>
  <si>
    <t>Ruhu</t>
  </si>
  <si>
    <t>NG036008011</t>
  </si>
  <si>
    <t>Rumde</t>
  </si>
  <si>
    <t>NG002020010</t>
  </si>
  <si>
    <t>Rumirgu Chul</t>
  </si>
  <si>
    <t>NG008002002</t>
  </si>
  <si>
    <t>Sabon Gari</t>
  </si>
  <si>
    <t>NG036001007</t>
  </si>
  <si>
    <t>Sabon Layi</t>
  </si>
  <si>
    <t>NG002014009</t>
  </si>
  <si>
    <t>Sabon Pegi</t>
  </si>
  <si>
    <t>NG002016009</t>
  </si>
  <si>
    <t>Sabsabuwa</t>
  </si>
  <si>
    <t>NG008026011</t>
  </si>
  <si>
    <t>Sakwa Hema</t>
  </si>
  <si>
    <t>NG008012011</t>
  </si>
  <si>
    <t>Sangassumi</t>
  </si>
  <si>
    <t>NG002003007</t>
  </si>
  <si>
    <t>Sarkin Hausawa</t>
  </si>
  <si>
    <t>NG036001008</t>
  </si>
  <si>
    <t>Sasawa Kabaru</t>
  </si>
  <si>
    <t>NG036003011</t>
  </si>
  <si>
    <t>Shaffa</t>
  </si>
  <si>
    <t>NG008012012</t>
  </si>
  <si>
    <t>Shangui</t>
  </si>
  <si>
    <t>NG002007010</t>
  </si>
  <si>
    <t>NG008027010</t>
  </si>
  <si>
    <t>Shehuri</t>
  </si>
  <si>
    <t>NG008003011</t>
  </si>
  <si>
    <t>NG008025009</t>
  </si>
  <si>
    <t>Shehuri North</t>
  </si>
  <si>
    <t>NG008021014</t>
  </si>
  <si>
    <t>Shehuri South</t>
  </si>
  <si>
    <t>NG008021015</t>
  </si>
  <si>
    <t>Shekau</t>
  </si>
  <si>
    <t>NG036015009</t>
  </si>
  <si>
    <t>NG002017009</t>
  </si>
  <si>
    <t>Shettimari</t>
  </si>
  <si>
    <t>NG008014012</t>
  </si>
  <si>
    <t>Shirarkir</t>
  </si>
  <si>
    <t>NG008006011</t>
  </si>
  <si>
    <t>Shoye</t>
  </si>
  <si>
    <t>NG036004008</t>
  </si>
  <si>
    <t>Sigal</t>
  </si>
  <si>
    <t>NG008015010</t>
  </si>
  <si>
    <t>Sigire</t>
  </si>
  <si>
    <t>NG002018006</t>
  </si>
  <si>
    <t>Sina Kamale</t>
  </si>
  <si>
    <t>NG002013011</t>
  </si>
  <si>
    <t>Song Gari</t>
  </si>
  <si>
    <t>NG002018007</t>
  </si>
  <si>
    <t>Song Waje</t>
  </si>
  <si>
    <t>NG002018008</t>
  </si>
  <si>
    <t>Sorau A</t>
  </si>
  <si>
    <t>NG002011008</t>
  </si>
  <si>
    <t>Sorau B</t>
  </si>
  <si>
    <t>NG002011009</t>
  </si>
  <si>
    <t>Soye</t>
  </si>
  <si>
    <t>NG008003010</t>
  </si>
  <si>
    <t>Sugu</t>
  </si>
  <si>
    <t>NG002003008</t>
  </si>
  <si>
    <t>Sugundare</t>
  </si>
  <si>
    <t>NG008026012</t>
  </si>
  <si>
    <t>Suktu</t>
  </si>
  <si>
    <t>NG002018009</t>
  </si>
  <si>
    <t>Sukur</t>
  </si>
  <si>
    <t>NG002010008</t>
  </si>
  <si>
    <t>Sulumthla</t>
  </si>
  <si>
    <t>NG008005009</t>
  </si>
  <si>
    <t>Sumbar</t>
  </si>
  <si>
    <t>NG036017008</t>
  </si>
  <si>
    <t>Sungul Koka</t>
  </si>
  <si>
    <t>NG036015010</t>
  </si>
  <si>
    <t>Sure</t>
  </si>
  <si>
    <t>NG008024009</t>
  </si>
  <si>
    <t>Suwa</t>
  </si>
  <si>
    <t>NG002009009</t>
  </si>
  <si>
    <t>Taganama</t>
  </si>
  <si>
    <t>NG036011010</t>
  </si>
  <si>
    <t>Talum</t>
  </si>
  <si>
    <t>NG002017010</t>
  </si>
  <si>
    <t>Tambajam</t>
  </si>
  <si>
    <t>NG002011010</t>
  </si>
  <si>
    <t>Tambo</t>
  </si>
  <si>
    <t>NG002005009</t>
  </si>
  <si>
    <t>Tamsu Ngamdua</t>
  </si>
  <si>
    <t>NG008019012</t>
  </si>
  <si>
    <t>Tawa</t>
  </si>
  <si>
    <t>NG002004009</t>
  </si>
  <si>
    <t>Telli</t>
  </si>
  <si>
    <t>NG008004008</t>
  </si>
  <si>
    <t>Teteba</t>
  </si>
  <si>
    <t>NG036008012</t>
  </si>
  <si>
    <t>Thilbang</t>
  </si>
  <si>
    <t>NG002007011</t>
  </si>
  <si>
    <t>Tikau</t>
  </si>
  <si>
    <t>NG036012010</t>
  </si>
  <si>
    <t>Timdore</t>
  </si>
  <si>
    <t>NG002003009</t>
  </si>
  <si>
    <t>Titiwa</t>
  </si>
  <si>
    <t>NG008020006</t>
  </si>
  <si>
    <t>Tobolo</t>
  </si>
  <si>
    <t>NG008014013</t>
  </si>
  <si>
    <t>Tola</t>
  </si>
  <si>
    <t>NG002012011</t>
  </si>
  <si>
    <t>Toshia</t>
  </si>
  <si>
    <t>NG036016008</t>
  </si>
  <si>
    <t>NG002021010</t>
  </si>
  <si>
    <t>Toungo 1</t>
  </si>
  <si>
    <t>NG002019008</t>
  </si>
  <si>
    <t>Toungo 2</t>
  </si>
  <si>
    <t>NG002019009</t>
  </si>
  <si>
    <t>Toungo 3</t>
  </si>
  <si>
    <t>NG002019010</t>
  </si>
  <si>
    <t>Tsugum Tagali</t>
  </si>
  <si>
    <t>NG036001009</t>
  </si>
  <si>
    <t>Tsukumu/Tilijo</t>
  </si>
  <si>
    <t>NG002013012</t>
  </si>
  <si>
    <t>Tuba</t>
  </si>
  <si>
    <t>NG008013012</t>
  </si>
  <si>
    <t>Tulotulo</t>
  </si>
  <si>
    <t>NG036017009</t>
  </si>
  <si>
    <t>Tumbara/Ngabili</t>
  </si>
  <si>
    <t>NG002013014</t>
  </si>
  <si>
    <t>Turmi Malori</t>
  </si>
  <si>
    <t>NG036004009</t>
  </si>
  <si>
    <t>Uba</t>
  </si>
  <si>
    <t>NG002007012</t>
  </si>
  <si>
    <t>NG008002010</t>
  </si>
  <si>
    <t>Ufaye</t>
  </si>
  <si>
    <t>NG008008010</t>
  </si>
  <si>
    <t>Uki Tuki</t>
  </si>
  <si>
    <t>NG002002009</t>
  </si>
  <si>
    <t>Uvu Uda</t>
  </si>
  <si>
    <t>NG008002011</t>
  </si>
  <si>
    <t>Vih/Boka</t>
  </si>
  <si>
    <t>NG002013015</t>
  </si>
  <si>
    <t>Vimtim</t>
  </si>
  <si>
    <t>NG002014010</t>
  </si>
  <si>
    <t>Vulpi</t>
  </si>
  <si>
    <t>NG002016010</t>
  </si>
  <si>
    <t>Wachakal</t>
  </si>
  <si>
    <t>NG036010009</t>
  </si>
  <si>
    <t>Wada</t>
  </si>
  <si>
    <t>NG008018008</t>
  </si>
  <si>
    <t>Waduku</t>
  </si>
  <si>
    <t>NG002009010</t>
  </si>
  <si>
    <t>Waga-chakawa</t>
  </si>
  <si>
    <t>NG002010009</t>
  </si>
  <si>
    <t>Wagir</t>
  </si>
  <si>
    <t>NG036007010</t>
  </si>
  <si>
    <t>Wajiro</t>
  </si>
  <si>
    <t>NG008014014</t>
  </si>
  <si>
    <t>Wala Warabe</t>
  </si>
  <si>
    <t>NG008011003</t>
  </si>
  <si>
    <t>Walama</t>
  </si>
  <si>
    <t>NG008027011</t>
  </si>
  <si>
    <t>Waltandi</t>
  </si>
  <si>
    <t>NG002018010</t>
  </si>
  <si>
    <t>Wambilimi/Tili</t>
  </si>
  <si>
    <t>NG002013016</t>
  </si>
  <si>
    <t>Wamdeo Giwi</t>
  </si>
  <si>
    <t>NG008002012</t>
  </si>
  <si>
    <t>Wamiri</t>
  </si>
  <si>
    <t>NG008010010</t>
  </si>
  <si>
    <t>Waro</t>
  </si>
  <si>
    <t>NG036010010</t>
  </si>
  <si>
    <t>Warshele</t>
  </si>
  <si>
    <t>NG008025010</t>
  </si>
  <si>
    <t>Wassaram</t>
  </si>
  <si>
    <t>NG008014015</t>
  </si>
  <si>
    <t>Watinani</t>
  </si>
  <si>
    <t>NG036012011</t>
  </si>
  <si>
    <t>Wawa</t>
  </si>
  <si>
    <t>NG008018009</t>
  </si>
  <si>
    <t>Wawa Korode</t>
  </si>
  <si>
    <t>NG008007010</t>
  </si>
  <si>
    <t>Whuntaku</t>
  </si>
  <si>
    <t>NG008006003</t>
  </si>
  <si>
    <t>Wula</t>
  </si>
  <si>
    <t>NG002010010</t>
  </si>
  <si>
    <t>Wulgo</t>
  </si>
  <si>
    <t>NG008025011</t>
  </si>
  <si>
    <t>Wulo</t>
  </si>
  <si>
    <t>NG008024010</t>
  </si>
  <si>
    <t>Wuro Bokki</t>
  </si>
  <si>
    <t>NG002002010</t>
  </si>
  <si>
    <t>Wuro Dole</t>
  </si>
  <si>
    <t>NG002005010</t>
  </si>
  <si>
    <t>Wuyo</t>
  </si>
  <si>
    <t>NG008004009</t>
  </si>
  <si>
    <t>Yabal</t>
  </si>
  <si>
    <t>NG008016008</t>
  </si>
  <si>
    <t>Yabiri</t>
  </si>
  <si>
    <t>NG008003013</t>
  </si>
  <si>
    <t>Yadim</t>
  </si>
  <si>
    <t>NG002002011</t>
  </si>
  <si>
    <t>Yajiwa</t>
  </si>
  <si>
    <t>NG008016010</t>
  </si>
  <si>
    <t>Yale</t>
  </si>
  <si>
    <t>NG008016006</t>
  </si>
  <si>
    <t>Yang</t>
  </si>
  <si>
    <t>NG002004010</t>
  </si>
  <si>
    <t>Yau</t>
  </si>
  <si>
    <t>NG008001008</t>
  </si>
  <si>
    <t>Yawa</t>
  </si>
  <si>
    <t>NG008001009</t>
  </si>
  <si>
    <t>Yawi</t>
  </si>
  <si>
    <t>NG008005010</t>
  </si>
  <si>
    <t>Yebbi</t>
  </si>
  <si>
    <t>NG002003010</t>
  </si>
  <si>
    <t>Yele</t>
  </si>
  <si>
    <t>NG008024011</t>
  </si>
  <si>
    <t>Yeli</t>
  </si>
  <si>
    <t>NG002008011</t>
  </si>
  <si>
    <t>Yelwa</t>
  </si>
  <si>
    <t>NG002014011</t>
  </si>
  <si>
    <t>NG002020011</t>
  </si>
  <si>
    <t>Yerimaram</t>
  </si>
  <si>
    <t>NG036014010</t>
  </si>
  <si>
    <t>Yimirdalang</t>
  </si>
  <si>
    <t>NG008018010</t>
  </si>
  <si>
    <t>Yitiwa</t>
  </si>
  <si>
    <t>NG008001010</t>
  </si>
  <si>
    <t>Yoffo</t>
  </si>
  <si>
    <t>NG002012012</t>
  </si>
  <si>
    <t>Yolde Kohi</t>
  </si>
  <si>
    <t>NG002021011</t>
  </si>
  <si>
    <t>Yoyo</t>
  </si>
  <si>
    <t>NG008017010</t>
  </si>
  <si>
    <t>NG036016009</t>
  </si>
  <si>
    <t>NG036017010</t>
  </si>
  <si>
    <t>Zabudum Dachia</t>
  </si>
  <si>
    <t>NG036009010</t>
  </si>
  <si>
    <t>NG036016010</t>
  </si>
  <si>
    <t>Zaga Ngalori</t>
  </si>
  <si>
    <t>NG008022013</t>
  </si>
  <si>
    <t>Zageri</t>
  </si>
  <si>
    <t>NG008003014</t>
  </si>
  <si>
    <t>Zah</t>
  </si>
  <si>
    <t>NG002013013</t>
  </si>
  <si>
    <t>Zangaya Mazawaun</t>
  </si>
  <si>
    <t>NG036004010</t>
  </si>
  <si>
    <t>Zangebe</t>
  </si>
  <si>
    <t>NG008019001</t>
  </si>
  <si>
    <t>Zango</t>
  </si>
  <si>
    <t>NG036001010</t>
  </si>
  <si>
    <t>Zara</t>
  </si>
  <si>
    <t>NG008004010</t>
  </si>
  <si>
    <t>Zarawuyaku</t>
  </si>
  <si>
    <t>NG008005011</t>
  </si>
  <si>
    <t>Zari</t>
  </si>
  <si>
    <t>NG008023010</t>
  </si>
  <si>
    <t>Zowo</t>
  </si>
  <si>
    <t>NG008009010</t>
  </si>
  <si>
    <t>Zulum</t>
  </si>
  <si>
    <t>NG008024012</t>
  </si>
  <si>
    <t>Zulum Umarti</t>
  </si>
  <si>
    <t>NG008023009</t>
  </si>
  <si>
    <t>Zumo</t>
  </si>
  <si>
    <t>NG002018011</t>
  </si>
  <si>
    <t>In-Kind</t>
  </si>
  <si>
    <t>Post Monitoring Distribution</t>
  </si>
  <si>
    <t>Latrine Construction (HH)</t>
  </si>
  <si>
    <t>Borehole Construction</t>
  </si>
  <si>
    <t>Borehole upgrade</t>
  </si>
  <si>
    <t>Reticulation Construction</t>
  </si>
  <si>
    <t>Borehole Rehabilitation</t>
  </si>
  <si>
    <t>Reticulation Rehabilitation</t>
  </si>
  <si>
    <t>Water Trucking</t>
  </si>
  <si>
    <t>indicator 1: Number of people having access to emergency safe water facilities and services as per sector's standards</t>
  </si>
  <si>
    <t>indicator 2: Number of affected people have safe and equitable access to a sufficient quantity of water for domestic needs, as per the sector's standards.</t>
  </si>
  <si>
    <t>indicator 3: Number of affected people have water systems functionality supported by sustained operation and maintenance services.</t>
  </si>
  <si>
    <t>indicator 5: Number of affected people have safe and dignified access to improved sanitation facilities, as per the sector's standard.</t>
  </si>
  <si>
    <t>indicator 6: Number of people benefiting from sustained desludging and cleaning of their latrines as per sector's standard</t>
  </si>
  <si>
    <t>indicator 7: Number of IDPs in camps having access to sustained solid waste management services</t>
  </si>
  <si>
    <t>indicator 8: Number of affected people benefit from community tailored gender and age-sensitive hygiene messages aiming at hygienic behavior and practices as per the sector's standards.</t>
  </si>
  <si>
    <t>indicator 9: Number of people assisted with WASH NFIs (hygiene kits, replenishment hygiene kits, WASH cholera kits, WASH Nutrition kits, sanitation kits and MHM kits).</t>
  </si>
  <si>
    <t>IRC</t>
  </si>
  <si>
    <t>Donor</t>
  </si>
  <si>
    <t>Internation Rescue Committee</t>
  </si>
  <si>
    <t>Date</t>
  </si>
  <si>
    <t># of litres trucked</t>
  </si>
  <si>
    <t># of Handwashing stations installed</t>
  </si>
  <si>
    <t>Water System - O &amp; M</t>
  </si>
  <si>
    <t>WASHCOMs - Capacity building - Trainings</t>
  </si>
  <si>
    <t xml:space="preserve">WASHCOMs - Capacity building - Equipments </t>
  </si>
  <si>
    <t>Water treatment chemicals (HH)</t>
  </si>
  <si>
    <t>Chlorination - Water supply system</t>
  </si>
  <si>
    <t>Installation of Hand Washing Station</t>
  </si>
  <si>
    <t>Latrine - O &amp; M</t>
  </si>
  <si>
    <t>Latrine construction - Emergency</t>
  </si>
  <si>
    <t>Latrine construction - Institutional</t>
  </si>
  <si>
    <t>Latrine desludgin</t>
  </si>
  <si>
    <t>Latrine Rehabilitation   Emergency</t>
  </si>
  <si>
    <t xml:space="preserve">Latrine Rehabilitation - Institutional </t>
  </si>
  <si>
    <t>Latrine construction - Communal</t>
  </si>
  <si>
    <t>Latrine Rehabilitation - Communal</t>
  </si>
  <si>
    <t>Shower - O &amp; M</t>
  </si>
  <si>
    <t>Shower construction - Emergency</t>
  </si>
  <si>
    <t>Shower construction - Communal</t>
  </si>
  <si>
    <t>Shower Rehabilitation   Emergency</t>
  </si>
  <si>
    <t>Shower Rehabilitation - Communal</t>
  </si>
  <si>
    <t>Sanitation  Kits Distribution</t>
  </si>
  <si>
    <t>Drainage canal cleaning</t>
  </si>
  <si>
    <t>Cholera Kit provision</t>
  </si>
  <si>
    <t>WASH &amp; Dignity Kits</t>
  </si>
  <si>
    <t>Replenishment Kit</t>
  </si>
  <si>
    <t>MHM Kits</t>
  </si>
  <si>
    <t>Hygiene Kits</t>
  </si>
  <si>
    <t>Hygiene promotions - IDP sites</t>
  </si>
  <si>
    <t>Hygiene promotions - institutions</t>
  </si>
  <si>
    <t>Hygiene promotions -Host community</t>
  </si>
  <si>
    <t>CVA</t>
  </si>
  <si>
    <r>
      <t xml:space="preserve">Date of Reporting
</t>
    </r>
    <r>
      <rPr>
        <sz val="9"/>
        <color theme="1" tint="0.499984740745262"/>
        <rFont val="Arial"/>
        <family val="2"/>
      </rPr>
      <t>DD/MM/YYYY</t>
    </r>
  </si>
  <si>
    <t>USAID - BHA</t>
  </si>
  <si>
    <t>ECHO</t>
  </si>
  <si>
    <t>SIDA</t>
  </si>
  <si>
    <t>CIDA</t>
  </si>
  <si>
    <t>GAC</t>
  </si>
  <si>
    <t>FCDO</t>
  </si>
  <si>
    <t>OCHA - NHF</t>
  </si>
  <si>
    <t>UNICEF</t>
  </si>
  <si>
    <t>Qatar Foundation</t>
  </si>
  <si>
    <t>IOM - RRF</t>
  </si>
  <si>
    <t>RRM</t>
  </si>
  <si>
    <t>DANIDA</t>
  </si>
  <si>
    <t>Other</t>
  </si>
  <si>
    <t>Conflict</t>
  </si>
  <si>
    <t>Nexus</t>
  </si>
  <si>
    <t>indicator 10: Number of Households receiving cash transfers and or vouchers to meet their WASH needs including top-ups</t>
  </si>
  <si>
    <t>indicator 4: Number of Health Care Facilities, Nutritional Centers, temporary learning centers (TLC), Child Friendly Spaces (CFS), schools and other relevant public places assisted with appropriate emergency WASH facilities supporting affected children.</t>
  </si>
  <si>
    <t># of Water System</t>
  </si>
  <si>
    <t># of WASHCOM Equipped</t>
  </si>
  <si>
    <t># of WASHCOM Trained</t>
  </si>
  <si>
    <t># of People Reached</t>
  </si>
  <si>
    <t># of Latrines</t>
  </si>
  <si>
    <t># of Boreholes</t>
  </si>
  <si>
    <t># of Kits</t>
  </si>
  <si>
    <t># of showers</t>
  </si>
  <si>
    <t># of Communities</t>
  </si>
  <si>
    <t># of Household survey</t>
  </si>
  <si>
    <t>Fire-outbreak</t>
  </si>
  <si>
    <t>Is HRP activity?</t>
  </si>
  <si>
    <t>Nexus-Development</t>
  </si>
  <si>
    <t>Nexus-Durable Solution</t>
  </si>
  <si>
    <t>Yes</t>
  </si>
  <si>
    <t>IDPs Camp</t>
  </si>
  <si>
    <t>IDPs in Host Community Shelters</t>
  </si>
  <si>
    <t>Post Distribution Monitoring</t>
  </si>
  <si>
    <t>WASH &amp; Dignity Kits (Hygiene Kits)</t>
  </si>
  <si>
    <r>
      <t xml:space="preserve">State
</t>
    </r>
    <r>
      <rPr>
        <sz val="8"/>
        <color theme="1" tint="0.34998626667073579"/>
        <rFont val="Arial"/>
        <family val="2"/>
      </rPr>
      <t>(Select in the dropdown list)</t>
    </r>
  </si>
  <si>
    <r>
      <t xml:space="preserve">LGA
</t>
    </r>
    <r>
      <rPr>
        <sz val="8"/>
        <color theme="1" tint="0.34998626667073579"/>
        <rFont val="Arial"/>
        <family val="2"/>
      </rPr>
      <t>(Select in the dropdown list)</t>
    </r>
  </si>
  <si>
    <r>
      <t xml:space="preserve">Ward
</t>
    </r>
    <r>
      <rPr>
        <sz val="8"/>
        <color theme="1" tint="0.34998626667073579"/>
        <rFont val="Arial"/>
        <family val="2"/>
      </rPr>
      <t>(Select in the dropdown list)</t>
    </r>
  </si>
  <si>
    <r>
      <t xml:space="preserve">Indicators
</t>
    </r>
    <r>
      <rPr>
        <sz val="8"/>
        <color theme="1" tint="0.34998626667073579"/>
        <rFont val="Arial"/>
        <family val="2"/>
      </rPr>
      <t>(automatically filled)</t>
    </r>
  </si>
  <si>
    <r>
      <t xml:space="preserve">Organisation Name
</t>
    </r>
    <r>
      <rPr>
        <sz val="8"/>
        <color theme="1" tint="0.34998626667073579"/>
        <rFont val="Arial"/>
        <family val="2"/>
      </rPr>
      <t>(Select in the dropdown list)</t>
    </r>
  </si>
  <si>
    <r>
      <t xml:space="preserve">Type
</t>
    </r>
    <r>
      <rPr>
        <sz val="8"/>
        <color theme="1" tint="0.34998626667073579"/>
        <rFont val="Arial"/>
        <family val="2"/>
      </rPr>
      <t>(Select in the dropdown list)</t>
    </r>
  </si>
  <si>
    <r>
      <t xml:space="preserve">Donor
</t>
    </r>
    <r>
      <rPr>
        <sz val="8"/>
        <color theme="1" tint="0.499984740745262"/>
        <rFont val="Arial"/>
        <family val="2"/>
      </rPr>
      <t>(Select in the dropdown list)</t>
    </r>
  </si>
  <si>
    <r>
      <t xml:space="preserve">Type of Location
</t>
    </r>
    <r>
      <rPr>
        <sz val="8"/>
        <color theme="1" tint="0.499984740745262"/>
        <rFont val="Arial"/>
        <family val="2"/>
      </rPr>
      <t>(Select in the dropdown list)</t>
    </r>
  </si>
  <si>
    <t>INGO</t>
  </si>
  <si>
    <t>UN</t>
  </si>
  <si>
    <t>Organization Type</t>
  </si>
  <si>
    <t>Danish Refugee Council</t>
  </si>
  <si>
    <t>FHI360</t>
  </si>
  <si>
    <t>International Rescue Commitee</t>
  </si>
  <si>
    <t>INTERSOS</t>
  </si>
  <si>
    <t>Lindii Peace Foundation</t>
  </si>
  <si>
    <t>Monclub International</t>
  </si>
  <si>
    <t>Nkafamiya Rescue Mission</t>
  </si>
  <si>
    <t>Organization</t>
  </si>
  <si>
    <t>Malteser International</t>
  </si>
  <si>
    <t>Norwegian Church Aid</t>
  </si>
  <si>
    <r>
      <t xml:space="preserve">Latitude, Longitude 
</t>
    </r>
    <r>
      <rPr>
        <sz val="8"/>
        <color theme="1" tint="0.499984740745262"/>
        <rFont val="Arial"/>
        <family val="2"/>
      </rPr>
      <t xml:space="preserve">(For Borehole, Shallow well, hand Dug well or Sanitation facilities) </t>
    </r>
  </si>
  <si>
    <r>
      <t xml:space="preserve">This matrix will be used </t>
    </r>
    <r>
      <rPr>
        <b/>
        <sz val="10"/>
        <color theme="1"/>
        <rFont val="Arial"/>
        <family val="2"/>
      </rPr>
      <t xml:space="preserve"> </t>
    </r>
    <r>
      <rPr>
        <sz val="10"/>
        <color theme="1"/>
        <rFont val="Arial"/>
        <family val="2"/>
      </rPr>
      <t xml:space="preserve">to monitor the </t>
    </r>
    <r>
      <rPr>
        <b/>
        <sz val="10"/>
        <color theme="1"/>
        <rFont val="Arial"/>
        <family val="2"/>
      </rPr>
      <t>activities</t>
    </r>
    <r>
      <rPr>
        <sz val="10"/>
        <color theme="1"/>
        <rFont val="Arial"/>
        <family val="2"/>
      </rPr>
      <t xml:space="preserve"> planned by </t>
    </r>
    <r>
      <rPr>
        <b/>
        <sz val="10"/>
        <color theme="1"/>
        <rFont val="Arial"/>
        <family val="2"/>
      </rPr>
      <t>operational partners</t>
    </r>
    <r>
      <rPr>
        <sz val="10"/>
        <color theme="1"/>
        <rFont val="Arial"/>
        <family val="2"/>
      </rPr>
      <t xml:space="preserve"> in the </t>
    </r>
    <r>
      <rPr>
        <b/>
        <sz val="10"/>
        <color theme="1"/>
        <rFont val="Arial"/>
        <family val="2"/>
      </rPr>
      <t>intervention areas</t>
    </r>
    <r>
      <rPr>
        <sz val="10"/>
        <color theme="1"/>
        <rFont val="Arial"/>
        <family val="2"/>
      </rPr>
      <t xml:space="preserve"> (up to settlement level), their </t>
    </r>
    <r>
      <rPr>
        <b/>
        <sz val="10"/>
        <color theme="1"/>
        <rFont val="Arial"/>
        <family val="2"/>
      </rPr>
      <t>status</t>
    </r>
    <r>
      <rPr>
        <sz val="10"/>
        <color theme="1"/>
        <rFont val="Arial"/>
        <family val="2"/>
      </rPr>
      <t xml:space="preserve"> and the</t>
    </r>
    <r>
      <rPr>
        <b/>
        <sz val="10"/>
        <color theme="1"/>
        <rFont val="Arial"/>
        <family val="2"/>
      </rPr>
      <t xml:space="preserve"> beneficiaries</t>
    </r>
    <r>
      <rPr>
        <sz val="10"/>
        <color theme="1"/>
        <rFont val="Arial"/>
        <family val="2"/>
      </rPr>
      <t xml:space="preserve"> reached.</t>
    </r>
  </si>
  <si>
    <r>
      <rPr>
        <b/>
        <sz val="14"/>
        <color theme="1" tint="0.249977111117893"/>
        <rFont val="Arial"/>
        <family val="2"/>
      </rPr>
      <t>Instructions to Partners:</t>
    </r>
    <r>
      <rPr>
        <b/>
        <sz val="14"/>
        <color theme="1"/>
        <rFont val="Arial"/>
        <family val="2"/>
      </rPr>
      <t xml:space="preserve">
</t>
    </r>
    <r>
      <rPr>
        <b/>
        <sz val="10"/>
        <color rgb="FFC00000"/>
        <rFont val="Arial"/>
        <family val="2"/>
      </rPr>
      <t>!!</t>
    </r>
    <r>
      <rPr>
        <sz val="10"/>
        <color theme="1" tint="0.249977111117893"/>
        <rFont val="Arial"/>
        <family val="2"/>
      </rPr>
      <t xml:space="preserve"> Please fill in the details carefully, as these data will be used in the Matrix tab and will allow the sector to monitor the response effectively for feedback and advocacyhave your 
</t>
    </r>
    <r>
      <rPr>
        <b/>
        <sz val="10"/>
        <color rgb="FFC00000"/>
        <rFont val="Arial"/>
        <family val="2"/>
      </rPr>
      <t xml:space="preserve">!! </t>
    </r>
    <r>
      <rPr>
        <sz val="10"/>
        <rFont val="Arial"/>
        <family val="2"/>
      </rPr>
      <t>Kindly use the available dropdown in the provided template and do not copy and paste data from another template into the this  template. If this is done, I may have to get back to you to refill the template</t>
    </r>
    <r>
      <rPr>
        <b/>
        <sz val="10"/>
        <color rgb="FFC00000"/>
        <rFont val="Arial"/>
        <family val="2"/>
      </rPr>
      <t xml:space="preserve">
!!</t>
    </r>
    <r>
      <rPr>
        <sz val="10"/>
        <color theme="1" tint="0.249977111117893"/>
        <rFont val="Arial"/>
        <family val="2"/>
      </rPr>
      <t xml:space="preserve"> Ignore column with the mention "automattcally filled"
</t>
    </r>
    <r>
      <rPr>
        <b/>
        <sz val="10"/>
        <color rgb="FFC00000"/>
        <rFont val="Arial"/>
        <family val="2"/>
      </rPr>
      <t>!!</t>
    </r>
    <r>
      <rPr>
        <sz val="10"/>
        <color theme="1" tint="0.249977111117893"/>
        <rFont val="Arial"/>
        <family val="2"/>
      </rPr>
      <t xml:space="preserve"> Do not rename tables and columns</t>
    </r>
  </si>
  <si>
    <r>
      <t xml:space="preserve">Reporting Month
</t>
    </r>
    <r>
      <rPr>
        <sz val="8"/>
        <color theme="2" tint="-0.499984740745262"/>
        <rFont val="Arial"/>
        <family val="2"/>
      </rPr>
      <t>(Select in the dropdown list)</t>
    </r>
  </si>
  <si>
    <t>=DROP(TAKE(Vocabulary!$E$2:$E$715,XMATCH(J4,Vocabulary!$C$2:$C$715,0,-1)),XMATCH(J4,Vocabulary!$C$2:$C$715,0)-1)</t>
  </si>
  <si>
    <t>Location Population</t>
  </si>
  <si>
    <t>Global Grassroots Succour Initiative</t>
  </si>
  <si>
    <t>GFFO</t>
  </si>
  <si>
    <t>SO</t>
  </si>
  <si>
    <t>SO-1</t>
  </si>
  <si>
    <t>Sub-SO</t>
  </si>
  <si>
    <t>SO1.2</t>
  </si>
  <si>
    <t>SO1.3</t>
  </si>
  <si>
    <t>SO-2</t>
  </si>
  <si>
    <t>SO-2.1</t>
  </si>
  <si>
    <t>SO-2.2</t>
  </si>
  <si>
    <t>SO1.1</t>
  </si>
  <si>
    <t>SO-3</t>
  </si>
  <si>
    <t>SO-3.1</t>
  </si>
  <si>
    <t>BMZ/KfW</t>
  </si>
  <si>
    <t>Thlama Peace Foundation</t>
  </si>
  <si>
    <t>ZOA</t>
  </si>
  <si>
    <t>Catholic Relief Service</t>
  </si>
  <si>
    <t>Christian Aid</t>
  </si>
  <si>
    <t>Daurama Foundation</t>
  </si>
  <si>
    <t>Mercy Corps</t>
  </si>
  <si>
    <t>Secours Islamique France</t>
  </si>
  <si>
    <t>Solidarites International</t>
  </si>
  <si>
    <t>The Mentor Initiative</t>
  </si>
  <si>
    <t>Bedada Care Foundation</t>
  </si>
  <si>
    <t>Blues Charity Aid Foundation Namur</t>
  </si>
  <si>
    <t>Danuwa Empowerment Foundation</t>
  </si>
  <si>
    <t>Dorcas Sisters Foundation</t>
  </si>
  <si>
    <t>Eremale Foundation</t>
  </si>
  <si>
    <t>Green Generation Initiative</t>
  </si>
  <si>
    <t>Hopeful Women Initiative</t>
  </si>
  <si>
    <t>Jidda Community Care Foundation</t>
  </si>
  <si>
    <t>Sahei Gender Development Initiative</t>
  </si>
  <si>
    <t>Sirri Care Foundation</t>
  </si>
  <si>
    <t>Unified Culture Promotion Foundation</t>
  </si>
  <si>
    <t>Young Prodigy Hunamitarian Organization</t>
  </si>
  <si>
    <r>
      <t xml:space="preserve">Please return to </t>
    </r>
    <r>
      <rPr>
        <b/>
        <sz val="10"/>
        <color rgb="FFFF0000"/>
        <rFont val="Arial"/>
        <family val="2"/>
      </rPr>
      <t>&lt;techwashsector@gmail.com&gt;</t>
    </r>
  </si>
  <si>
    <t>Care First Community Initiative</t>
  </si>
  <si>
    <t>Jami Al Hakeem Foundation</t>
  </si>
  <si>
    <t>Murmushi People's Development Foundation</t>
  </si>
  <si>
    <t xml:space="preserve"> </t>
  </si>
  <si>
    <t>Number of households receiving water trucking on a regular basis</t>
  </si>
  <si>
    <t>Number of water sources / systems constructed</t>
  </si>
  <si>
    <t>Number of water sources / systems  rehabilitated</t>
  </si>
  <si>
    <t>Number of households accessing emergency latrines (constructed/rehabilitated)</t>
  </si>
  <si>
    <t>Number of latrines safely desludged / decommissioned</t>
  </si>
  <si>
    <t>Number of individuals reached with hygiene promotion sessions on a regular basis</t>
  </si>
  <si>
    <t>Number of households receiving hygiene kits (incl. menstrual hygiene items)</t>
  </si>
  <si>
    <t xml:space="preserve">Location Name   </t>
  </si>
  <si>
    <t>NORAD</t>
  </si>
  <si>
    <t xml:space="preserve">Action Against Hunger </t>
  </si>
  <si>
    <t>AAH</t>
  </si>
  <si>
    <t>Adamawa Rural Water Supply And Sanitation Agency</t>
  </si>
  <si>
    <t>ADRUWASSA</t>
  </si>
  <si>
    <t>Aduba Relief Care Foundation</t>
  </si>
  <si>
    <t>ARCF</t>
  </si>
  <si>
    <t xml:space="preserve">Advocacy For Resilience And Innovative Solutions For The Youths, Women, And Children Empowerment </t>
  </si>
  <si>
    <t>ARISE</t>
  </si>
  <si>
    <t xml:space="preserve">Almagda Community Development Initiative </t>
  </si>
  <si>
    <t>ACDI</t>
  </si>
  <si>
    <t>Ayuba Alamson Foundation</t>
  </si>
  <si>
    <t>AAF</t>
  </si>
  <si>
    <t>BECFO</t>
  </si>
  <si>
    <t xml:space="preserve">Bela Community Development Initiative </t>
  </si>
  <si>
    <t>BELA-CODE</t>
  </si>
  <si>
    <t>BCAFN</t>
  </si>
  <si>
    <t>Boaid Humanitarian Foundation</t>
  </si>
  <si>
    <t>BOAID</t>
  </si>
  <si>
    <t>Borno Rural Water Supply And Sanitation Agency</t>
  </si>
  <si>
    <t>BoRUWASSA</t>
  </si>
  <si>
    <t>Care Best Initiative Cbi</t>
  </si>
  <si>
    <t>CBI</t>
  </si>
  <si>
    <t>CFCI</t>
  </si>
  <si>
    <t>Care Ways Initiative For Youth And Women Support Development</t>
  </si>
  <si>
    <t>CAREWI</t>
  </si>
  <si>
    <t>CCFN</t>
  </si>
  <si>
    <t>CRS</t>
  </si>
  <si>
    <t>Cedar Foundation For Disability</t>
  </si>
  <si>
    <t>CEDAR</t>
  </si>
  <si>
    <t>Center For Advocacy, Transparency, And Accountability Initiative </t>
  </si>
  <si>
    <t>CATAI</t>
  </si>
  <si>
    <t>Child Protection And Women Empowerment Initiative -Cpwei</t>
  </si>
  <si>
    <t>CPWEI</t>
  </si>
  <si>
    <t>CAID</t>
  </si>
  <si>
    <t xml:space="preserve">Christian Rural And Urban Development Association Of Nigeria Crudan </t>
  </si>
  <si>
    <t>CRUDAN</t>
  </si>
  <si>
    <t xml:space="preserve">Civil Soceity Fr Poverty Eradication </t>
  </si>
  <si>
    <t>CISCOPE</t>
  </si>
  <si>
    <t xml:space="preserve">Concern For Women And Children Development Foundation </t>
  </si>
  <si>
    <t>COWACDI</t>
  </si>
  <si>
    <t xml:space="preserve">Concern On Climate Change For The Community Initiative </t>
  </si>
  <si>
    <t>FOURCi</t>
  </si>
  <si>
    <t xml:space="preserve">Create A Wonderful World Initiative </t>
  </si>
  <si>
    <t>CWI</t>
  </si>
  <si>
    <t>DRC</t>
  </si>
  <si>
    <t>DEF</t>
  </si>
  <si>
    <t>DF</t>
  </si>
  <si>
    <t>DSF</t>
  </si>
  <si>
    <t>ECM</t>
  </si>
  <si>
    <t xml:space="preserve">El-Ezhar Care Initiative </t>
  </si>
  <si>
    <t>ECI</t>
  </si>
  <si>
    <t xml:space="preserve">Enrich Girl Child Of Their Right Initiative </t>
  </si>
  <si>
    <t>EGCI</t>
  </si>
  <si>
    <t>EF</t>
  </si>
  <si>
    <t>First Step Action For Children Initiative (Fsaci</t>
  </si>
  <si>
    <t>FSACI</t>
  </si>
  <si>
    <t>Future Resilience And Development Foundation</t>
  </si>
  <si>
    <t>FRAD</t>
  </si>
  <si>
    <t xml:space="preserve">Gender Equality Peace And Development Centre </t>
  </si>
  <si>
    <t>GEPaDC</t>
  </si>
  <si>
    <t>Gibran Books And Values Society Of Nigeria</t>
  </si>
  <si>
    <t>GBVS</t>
  </si>
  <si>
    <t>GGSI</t>
  </si>
  <si>
    <t>Global Village Healthcare Initiative For Africa</t>
  </si>
  <si>
    <t>GHIV Africa</t>
  </si>
  <si>
    <t>Goalprime Organization Nigeria</t>
  </si>
  <si>
    <t>GPON</t>
  </si>
  <si>
    <t xml:space="preserve">Grassroot Initiative For Strengthening Community Resilience </t>
  </si>
  <si>
    <t>GISCOR</t>
  </si>
  <si>
    <t xml:space="preserve">Grassroot Lifesaving Outreach </t>
  </si>
  <si>
    <t>LESGO</t>
  </si>
  <si>
    <t>Green Concern For Development</t>
  </si>
  <si>
    <t>GREENCODE</t>
  </si>
  <si>
    <t>GGi</t>
  </si>
  <si>
    <t>Green Water Analyte And Ecological Development.</t>
  </si>
  <si>
    <t>GWAED</t>
  </si>
  <si>
    <t>Heed The Child Initiative</t>
  </si>
  <si>
    <t>HCI</t>
  </si>
  <si>
    <t>HWI</t>
  </si>
  <si>
    <t xml:space="preserve">International Medical Corps </t>
  </si>
  <si>
    <t>IMC</t>
  </si>
  <si>
    <t xml:space="preserve">International Organization For Migration </t>
  </si>
  <si>
    <t>IOM</t>
  </si>
  <si>
    <t>JHF</t>
  </si>
  <si>
    <t xml:space="preserve">Jen Initiative For Integrity And Development </t>
  </si>
  <si>
    <t>JIID</t>
  </si>
  <si>
    <t>JC2F</t>
  </si>
  <si>
    <t xml:space="preserve">Jireh Doo Foundation </t>
  </si>
  <si>
    <t>JDF</t>
  </si>
  <si>
    <t>JDPC</t>
  </si>
  <si>
    <t xml:space="preserve">Kumbal Support Initiative </t>
  </si>
  <si>
    <t>KSi</t>
  </si>
  <si>
    <t>Lake Chad Peace And Development Initiative</t>
  </si>
  <si>
    <t>LCPD</t>
  </si>
  <si>
    <t>Life At Best Development Initiative</t>
  </si>
  <si>
    <t>LABDI</t>
  </si>
  <si>
    <t xml:space="preserve">Life Helpers Initiative </t>
  </si>
  <si>
    <t>LHI</t>
  </si>
  <si>
    <t>LPF</t>
  </si>
  <si>
    <t>MAL</t>
  </si>
  <si>
    <t xml:space="preserve">Media Communication For Health And Development Initiative </t>
  </si>
  <si>
    <t>MECOMHEDI</t>
  </si>
  <si>
    <t>MERCYCORPS</t>
  </si>
  <si>
    <t>MCI</t>
  </si>
  <si>
    <t>Multi Aid And Charity Initiaitive</t>
  </si>
  <si>
    <t>MACI</t>
  </si>
  <si>
    <t>MPDF</t>
  </si>
  <si>
    <t>New Foundation For Displaced Person'S</t>
  </si>
  <si>
    <t>NFDP</t>
  </si>
  <si>
    <t>NRM</t>
  </si>
  <si>
    <t>North East Youth Initiative For Development</t>
  </si>
  <si>
    <t>NEYIF</t>
  </si>
  <si>
    <t>NCA</t>
  </si>
  <si>
    <t xml:space="preserve">Norwegian Refugee Council </t>
  </si>
  <si>
    <t>NRC</t>
  </si>
  <si>
    <t>Novel Alliance For Development Aid</t>
  </si>
  <si>
    <t>NADA</t>
  </si>
  <si>
    <t>OXFAM</t>
  </si>
  <si>
    <t xml:space="preserve">Peacebuilding And Livelihood Restoration Initiative </t>
  </si>
  <si>
    <t>PALRI</t>
  </si>
  <si>
    <t>Pride Initaitives</t>
  </si>
  <si>
    <t>PRIDE</t>
  </si>
  <si>
    <t xml:space="preserve">Rapid Action Aid Initiative </t>
  </si>
  <si>
    <t>RAAI</t>
  </si>
  <si>
    <t xml:space="preserve">Rays Of Change Development Initiative </t>
  </si>
  <si>
    <t>RCDI</t>
  </si>
  <si>
    <t xml:space="preserve">Reawakening And Development Initiative </t>
  </si>
  <si>
    <t>RADI</t>
  </si>
  <si>
    <t xml:space="preserve">Rehabilitation Empowerment And Better Health Initiative </t>
  </si>
  <si>
    <t>REBHI</t>
  </si>
  <si>
    <t>Foundation for Climate Action and Sustainable Development</t>
  </si>
  <si>
    <t>F-CASD</t>
  </si>
  <si>
    <t xml:space="preserve">Relief For Community Outreach &amp; Development </t>
  </si>
  <si>
    <t>RECOD</t>
  </si>
  <si>
    <t xml:space="preserve">Roadmap For Women And Youth Development </t>
  </si>
  <si>
    <t>RAWYOD</t>
  </si>
  <si>
    <t>SGDi</t>
  </si>
  <si>
    <t>Save The Children International</t>
  </si>
  <si>
    <t>SCI</t>
  </si>
  <si>
    <t>Save The Slum Initiative</t>
  </si>
  <si>
    <t>STSI</t>
  </si>
  <si>
    <t>SIF</t>
  </si>
  <si>
    <t>SIRRI CARE</t>
  </si>
  <si>
    <t>SI</t>
  </si>
  <si>
    <t>Sorasun Foundation</t>
  </si>
  <si>
    <t>SRF</t>
  </si>
  <si>
    <t xml:space="preserve">Speed Relief Humanitarian Organization </t>
  </si>
  <si>
    <t>SRHO</t>
  </si>
  <si>
    <t xml:space="preserve">Superior Life And Care Initiative </t>
  </si>
  <si>
    <t>SLACI</t>
  </si>
  <si>
    <t xml:space="preserve">Taimako Community Development Initiative </t>
  </si>
  <si>
    <t>TCDI</t>
  </si>
  <si>
    <t xml:space="preserve">Tallafi Initiative For Child And Women Development </t>
  </si>
  <si>
    <t>TIWOD</t>
  </si>
  <si>
    <t>Terre Des Hommes</t>
  </si>
  <si>
    <t>TDH</t>
  </si>
  <si>
    <t>TMI</t>
  </si>
  <si>
    <t>TPF</t>
  </si>
  <si>
    <t xml:space="preserve">Turum Aid Initiative </t>
  </si>
  <si>
    <t>TAI</t>
  </si>
  <si>
    <t>Uam Foundation</t>
  </si>
  <si>
    <t>UAMF</t>
  </si>
  <si>
    <t>UNICPF</t>
  </si>
  <si>
    <t xml:space="preserve">Valfasam Care Initiative </t>
  </si>
  <si>
    <t>VCI</t>
  </si>
  <si>
    <t xml:space="preserve">Water Supply And Sanitation Initiative </t>
  </si>
  <si>
    <t>WASSI</t>
  </si>
  <si>
    <t>YLF</t>
  </si>
  <si>
    <t>Yobe Rural Water Supply And Sanitation Agency</t>
  </si>
  <si>
    <t>YoRUWASSA</t>
  </si>
  <si>
    <t>YPHO</t>
  </si>
  <si>
    <t xml:space="preserve">Youth Integrated For Positive Development Initiative </t>
  </si>
  <si>
    <t>YIPDI</t>
  </si>
  <si>
    <t>Zai Development Foundation</t>
  </si>
  <si>
    <t>ZDF</t>
  </si>
  <si>
    <t>AfriYouth Mindset for Innovation and Entrepreneurship Development Initiative</t>
  </si>
  <si>
    <t>AfriYouth MIEDI</t>
  </si>
  <si>
    <t>Alheri Peace Building and Empowerment Foundation</t>
  </si>
  <si>
    <t>APBEF</t>
  </si>
  <si>
    <t>ASA Health Partners Consulting</t>
  </si>
  <si>
    <t>AHPC</t>
  </si>
  <si>
    <t>Belgra Care Foundation</t>
  </si>
  <si>
    <t>BCF</t>
  </si>
  <si>
    <t>Brandlife vision foundation</t>
  </si>
  <si>
    <t>BLVF</t>
  </si>
  <si>
    <t>Center for child care and human development</t>
  </si>
  <si>
    <t>C3HD</t>
  </si>
  <si>
    <t>Child protection and women empowerment initiative.</t>
  </si>
  <si>
    <t>Communal Support Foundation of Nigeria</t>
  </si>
  <si>
    <t>COSFON</t>
  </si>
  <si>
    <t>Community Engagement and Social Development Initiative</t>
  </si>
  <si>
    <t>CESDI</t>
  </si>
  <si>
    <t>Garkuwa Youth Initiative for Development</t>
  </si>
  <si>
    <t>G-YID</t>
  </si>
  <si>
    <t>Global peace Development</t>
  </si>
  <si>
    <t>GPD</t>
  </si>
  <si>
    <t>Grow Strong Foundation</t>
  </si>
  <si>
    <t>GSF</t>
  </si>
  <si>
    <t>Hope for Street Children and Vulnerable People Foundation</t>
  </si>
  <si>
    <t>HOPLE</t>
  </si>
  <si>
    <t xml:space="preserve">HopeAid Humanitarian Foundation </t>
  </si>
  <si>
    <t>HHF</t>
  </si>
  <si>
    <t>Idaniya Women and Girl Child Initiative</t>
  </si>
  <si>
    <t>IWaGI</t>
  </si>
  <si>
    <t>Portrait of lake child initiative</t>
  </si>
  <si>
    <t>PLCI</t>
  </si>
  <si>
    <t>Voice of Women in Nigeria Leadership Initiative</t>
  </si>
  <si>
    <t>VOWNLI</t>
  </si>
  <si>
    <t xml:space="preserve">Anchor for Life Support and Resilience </t>
  </si>
  <si>
    <t>ALSAR</t>
  </si>
  <si>
    <t xml:space="preserve">Center for Advocacy, Resilience and Empowerment </t>
  </si>
  <si>
    <t>CARE Initiative</t>
  </si>
  <si>
    <t xml:space="preserve">Delight Affection Foundation </t>
  </si>
  <si>
    <t>DAF</t>
  </si>
  <si>
    <t xml:space="preserve">Godiyah Cherished Care for Humanitarian Response Initiative </t>
  </si>
  <si>
    <t>GCCHRI</t>
  </si>
  <si>
    <t>Hand-in-Hand Empowerment Initiative</t>
  </si>
  <si>
    <t>HiH</t>
  </si>
  <si>
    <t xml:space="preserve">Hope 360 Initiative for Peace </t>
  </si>
  <si>
    <t>HOPE360</t>
  </si>
  <si>
    <t xml:space="preserve">Rising Hope Initiative for Sustainable Development </t>
  </si>
  <si>
    <t>RHISD</t>
  </si>
  <si>
    <t xml:space="preserve">SOS Children’s Villages Nigeria </t>
  </si>
  <si>
    <t>SOSCVN</t>
  </si>
  <si>
    <t xml:space="preserve">The Big Smile Foundation </t>
  </si>
  <si>
    <t>TBSF</t>
  </si>
  <si>
    <t xml:space="preserve">Transcultural Psychosocial organization </t>
  </si>
  <si>
    <t>TPO</t>
  </si>
  <si>
    <t xml:space="preserve">Vision for Inclusive Solutions and Transparency Initiative </t>
  </si>
  <si>
    <t>VISTA Initiative</t>
  </si>
  <si>
    <t>Gender Equality and Empowerment of Women and Children Initiative</t>
  </si>
  <si>
    <t>GEEWCI</t>
  </si>
  <si>
    <t>YEF</t>
  </si>
  <si>
    <t>Acronym</t>
  </si>
  <si>
    <r>
      <t xml:space="preserve">Acronym
</t>
    </r>
    <r>
      <rPr>
        <sz val="10"/>
        <color theme="2" tint="-0.499984740745262"/>
        <rFont val="Arial"/>
        <family val="2"/>
      </rPr>
      <t>(Autofill)</t>
    </r>
  </si>
  <si>
    <t>Yerwa Empowerment Foundation</t>
  </si>
  <si>
    <t>Catholic Caritas Foundation Of Nigeria</t>
  </si>
  <si>
    <t xml:space="preserve">Elela-Care Humanitarian And Development Organization </t>
  </si>
  <si>
    <t>Justice Development And Peace Commission Maiduguri</t>
  </si>
  <si>
    <t xml:space="preserve">Yasmeen Life Foundation </t>
  </si>
  <si>
    <t>Foundation For Empowerment And Support For Youth And Displaced Persons</t>
  </si>
  <si>
    <t>FESYD-P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</si>
</sst>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409]mmmm/yy;@"/>
    <numFmt numFmtId="166" formatCode="[$-F800]dddd\,\ mmmm\ dd\,\ yyyy"/>
  </numFmts>
  <fonts count="32" x14ac:knownFonts="1">
    <font>
      <sz val="11"/>
      <color theme="1"/>
      <name val="Calibri"/>
      <family val="2"/>
      <scheme val="minor"/>
    </font>
    <font>
      <sz val="11"/>
      <color theme="1"/>
      <name val="Calibri"/>
      <family val="2"/>
      <scheme val="minor"/>
    </font>
    <font>
      <b/>
      <sz val="18"/>
      <color theme="0"/>
      <name val="Arial"/>
      <family val="2"/>
    </font>
    <font>
      <b/>
      <sz val="18"/>
      <color rgb="FFFFFFFF"/>
      <name val="Arial"/>
      <family val="2"/>
    </font>
    <font>
      <sz val="10"/>
      <color theme="1"/>
      <name val="Arial"/>
      <family val="2"/>
    </font>
    <font>
      <sz val="9"/>
      <color theme="1"/>
      <name val="Arial"/>
      <family val="2"/>
    </font>
    <font>
      <b/>
      <sz val="9"/>
      <color theme="1"/>
      <name val="Arial"/>
      <family val="2"/>
    </font>
    <font>
      <sz val="8"/>
      <name val="Calibri"/>
      <family val="2"/>
      <scheme val="minor"/>
    </font>
    <font>
      <sz val="9"/>
      <color indexed="81"/>
      <name val="Tahoma"/>
      <family val="2"/>
    </font>
    <font>
      <b/>
      <sz val="9"/>
      <color indexed="81"/>
      <name val="Tahoma"/>
      <family val="2"/>
    </font>
    <font>
      <sz val="8"/>
      <color theme="1" tint="0.34998626667073579"/>
      <name val="Arial"/>
      <family val="2"/>
    </font>
    <font>
      <b/>
      <sz val="10"/>
      <color theme="1"/>
      <name val="Arial"/>
      <family val="2"/>
    </font>
    <font>
      <sz val="24"/>
      <color rgb="FF007976"/>
      <name val="Arial"/>
      <family val="2"/>
    </font>
    <font>
      <b/>
      <sz val="14"/>
      <color theme="1"/>
      <name val="Arial"/>
      <family val="2"/>
    </font>
    <font>
      <sz val="10"/>
      <color theme="1" tint="0.249977111117893"/>
      <name val="Arial"/>
      <family val="2"/>
    </font>
    <font>
      <b/>
      <sz val="14"/>
      <color theme="1" tint="0.249977111117893"/>
      <name val="Arial"/>
      <family val="2"/>
    </font>
    <font>
      <b/>
      <sz val="10"/>
      <color rgb="FFC00000"/>
      <name val="Arial"/>
      <family val="2"/>
    </font>
    <font>
      <sz val="20"/>
      <color rgb="FF007976"/>
      <name val="Arial"/>
      <family val="2"/>
    </font>
    <font>
      <sz val="8"/>
      <color theme="2" tint="-0.499984740745262"/>
      <name val="Arial"/>
      <family val="2"/>
    </font>
    <font>
      <b/>
      <sz val="11"/>
      <color rgb="FFFF0000"/>
      <name val="Calibri"/>
      <family val="2"/>
      <scheme val="minor"/>
    </font>
    <font>
      <sz val="11"/>
      <name val="Calibri"/>
      <family val="2"/>
      <scheme val="minor"/>
    </font>
    <font>
      <sz val="10"/>
      <name val="Cambria"/>
      <family val="1"/>
    </font>
    <font>
      <sz val="11"/>
      <name val="Cambria"/>
      <family val="1"/>
    </font>
    <font>
      <sz val="9"/>
      <color theme="1" tint="0.499984740745262"/>
      <name val="Arial"/>
      <family val="2"/>
    </font>
    <font>
      <b/>
      <sz val="11"/>
      <color theme="0"/>
      <name val="Calibri"/>
      <family val="2"/>
      <scheme val="minor"/>
    </font>
    <font>
      <sz val="8"/>
      <color theme="1"/>
      <name val="Arial"/>
      <family val="2"/>
    </font>
    <font>
      <sz val="8"/>
      <color theme="1" tint="0.499984740745262"/>
      <name val="Arial"/>
      <family val="2"/>
    </font>
    <font>
      <sz val="11"/>
      <color rgb="FFFF0000"/>
      <name val="Calibri"/>
      <family val="2"/>
      <scheme val="minor"/>
    </font>
    <font>
      <sz val="10"/>
      <name val="Arial"/>
      <family val="2"/>
    </font>
    <font>
      <b/>
      <sz val="10"/>
      <color rgb="FFFF0000"/>
      <name val="Arial"/>
      <family val="2"/>
    </font>
    <font>
      <sz val="11"/>
      <color theme="0"/>
      <name val="Calibri"/>
      <family val="2"/>
      <scheme val="minor"/>
    </font>
    <font>
      <sz val="10"/>
      <color theme="2" tint="-0.499984740745262"/>
      <name val="Arial"/>
      <family val="2"/>
    </font>
  </fonts>
  <fills count="19">
    <fill>
      <patternFill patternType="none"/>
    </fill>
    <fill>
      <patternFill patternType="gray125"/>
    </fill>
    <fill>
      <patternFill patternType="solid">
        <fgColor theme="0" tint="-4.9989318521683403E-2"/>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rgb="FF486E30"/>
        <bgColor indexed="64"/>
      </patternFill>
    </fill>
    <fill>
      <patternFill patternType="solid">
        <fgColor theme="4" tint="-0.499984740745262"/>
        <bgColor indexed="64"/>
      </patternFill>
    </fill>
    <fill>
      <patternFill patternType="solid">
        <fgColor rgb="FFE26B0A"/>
        <bgColor rgb="FF000000"/>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79998168889431442"/>
        <bgColor indexed="64"/>
      </patternFill>
    </fill>
    <fill>
      <patternFill patternType="solid">
        <fgColor rgb="FF009999"/>
        <bgColor indexed="64"/>
      </patternFill>
    </fill>
    <fill>
      <patternFill patternType="solid">
        <fgColor theme="0" tint="-0.14999847407452621"/>
        <bgColor indexed="64"/>
      </patternFill>
    </fill>
    <fill>
      <patternFill patternType="solid">
        <fgColor theme="4"/>
        <bgColor theme="4"/>
      </patternFill>
    </fill>
    <fill>
      <patternFill patternType="solid">
        <fgColor rgb="FFFF0000"/>
        <bgColor indexed="64"/>
      </patternFill>
    </fill>
    <fill>
      <patternFill patternType="solid">
        <fgColor rgb="FFFFFF00"/>
        <bgColor indexed="64"/>
      </patternFill>
    </fill>
    <fill>
      <patternFill patternType="solid">
        <fgColor theme="0" tint="-0.249977111117893"/>
        <bgColor indexed="64"/>
      </patternFill>
    </fill>
    <fill>
      <patternFill patternType="solid">
        <fgColor theme="0"/>
        <bgColor indexed="64"/>
      </patternFill>
    </fill>
    <fill>
      <patternFill patternType="solid">
        <fgColor theme="4" tint="-0.249977111117893"/>
        <bgColor indexed="64"/>
      </patternFill>
    </fill>
  </fills>
  <borders count="8">
    <border>
      <left/>
      <right/>
      <top/>
      <bottom/>
      <diagonal/>
    </border>
    <border>
      <left/>
      <right/>
      <top/>
      <bottom style="thin">
        <color theme="1"/>
      </bottom>
      <diagonal/>
    </border>
    <border>
      <left/>
      <right/>
      <top/>
      <bottom style="dotted">
        <color theme="2" tint="-9.9978637043366805E-2"/>
      </bottom>
      <diagonal/>
    </border>
    <border>
      <left/>
      <right/>
      <top style="dotted">
        <color theme="2" tint="-9.9978637043366805E-2"/>
      </top>
      <bottom style="dotted">
        <color theme="2" tint="-9.9978637043366805E-2"/>
      </bottom>
      <diagonal/>
    </border>
    <border>
      <left/>
      <right/>
      <top/>
      <bottom style="medium">
        <color rgb="FF007976"/>
      </bottom>
      <diagonal/>
    </border>
    <border>
      <left style="thin">
        <color indexed="64"/>
      </left>
      <right style="thin">
        <color indexed="64"/>
      </right>
      <top style="thin">
        <color indexed="64"/>
      </top>
      <bottom style="thin">
        <color indexed="64"/>
      </bottom>
      <diagonal/>
    </border>
    <border>
      <left style="thin">
        <color theme="4" tint="0.39997558519241921"/>
      </left>
      <right style="thin">
        <color theme="4" tint="0.39997558519241921"/>
      </right>
      <top/>
      <bottom style="thin">
        <color theme="4" tint="0.39997558519241921"/>
      </bottom>
      <diagonal/>
    </border>
    <border>
      <left style="thin">
        <color indexed="64"/>
      </left>
      <right/>
      <top style="thin">
        <color indexed="64"/>
      </top>
      <bottom style="thin">
        <color indexed="64"/>
      </bottom>
      <diagonal/>
    </border>
  </borders>
  <cellStyleXfs count="3">
    <xf numFmtId="0" fontId="0" fillId="0" borderId="0"/>
    <xf numFmtId="0" fontId="1" fillId="0" borderId="0"/>
    <xf numFmtId="43" fontId="1" fillId="0" borderId="0" applyFont="0" applyFill="0" applyBorder="0" applyAlignment="0" applyProtection="0"/>
  </cellStyleXfs>
  <cellXfs count="63">
    <xf numFmtId="0" fontId="0" fillId="0" borderId="0" xfId="0"/>
    <xf numFmtId="0" fontId="5" fillId="0" borderId="0" xfId="0" applyFont="1"/>
    <xf numFmtId="0" fontId="6" fillId="0" borderId="1" xfId="0" applyFont="1" applyBorder="1"/>
    <xf numFmtId="0" fontId="0" fillId="2" borderId="2" xfId="0" applyFill="1" applyBorder="1"/>
    <xf numFmtId="0" fontId="0" fillId="2" borderId="3" xfId="0" applyFill="1" applyBorder="1"/>
    <xf numFmtId="2" fontId="0" fillId="2" borderId="3" xfId="0" applyNumberFormat="1" applyFill="1" applyBorder="1"/>
    <xf numFmtId="0" fontId="19" fillId="0" borderId="0" xfId="0" applyFont="1"/>
    <xf numFmtId="0" fontId="20" fillId="0" borderId="5" xfId="0" applyFont="1" applyBorder="1"/>
    <xf numFmtId="0" fontId="21" fillId="0" borderId="5" xfId="0" applyFont="1" applyBorder="1"/>
    <xf numFmtId="0" fontId="22" fillId="0" borderId="5" xfId="0" applyFont="1" applyBorder="1" applyAlignment="1">
      <alignment vertical="center"/>
    </xf>
    <xf numFmtId="0" fontId="22" fillId="0" borderId="5" xfId="0" applyFont="1" applyBorder="1"/>
    <xf numFmtId="165" fontId="0" fillId="0" borderId="0" xfId="0" applyNumberFormat="1"/>
    <xf numFmtId="0" fontId="0" fillId="14" borderId="0" xfId="0" applyFill="1"/>
    <xf numFmtId="0" fontId="24" fillId="13" borderId="6" xfId="0" applyFont="1" applyFill="1" applyBorder="1"/>
    <xf numFmtId="0" fontId="0" fillId="10" borderId="5" xfId="0" applyFill="1" applyBorder="1"/>
    <xf numFmtId="0" fontId="2" fillId="6" borderId="5" xfId="0" applyFont="1" applyFill="1" applyBorder="1" applyAlignment="1">
      <alignment horizontal="center" vertical="center"/>
    </xf>
    <xf numFmtId="0" fontId="19" fillId="0" borderId="5" xfId="0" applyFont="1" applyBorder="1"/>
    <xf numFmtId="164" fontId="19" fillId="0" borderId="5" xfId="2" applyNumberFormat="1" applyFont="1" applyBorder="1"/>
    <xf numFmtId="0" fontId="4" fillId="12" borderId="5" xfId="0" applyFont="1" applyFill="1" applyBorder="1" applyAlignment="1">
      <alignment horizontal="center" vertical="center" wrapText="1"/>
    </xf>
    <xf numFmtId="0" fontId="5" fillId="12" borderId="5"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8" borderId="5" xfId="0" applyFont="1" applyFill="1" applyBorder="1" applyAlignment="1">
      <alignment horizontal="center" vertical="center" wrapText="1"/>
    </xf>
    <xf numFmtId="0" fontId="5" fillId="8" borderId="5" xfId="0" applyFont="1" applyFill="1" applyBorder="1" applyAlignment="1">
      <alignment horizontal="center" vertical="center" wrapText="1"/>
    </xf>
    <xf numFmtId="0" fontId="4" fillId="10" borderId="5" xfId="0" applyFont="1" applyFill="1" applyBorder="1" applyAlignment="1">
      <alignment horizontal="center" vertical="center" wrapText="1"/>
    </xf>
    <xf numFmtId="165" fontId="5" fillId="12" borderId="5" xfId="0" applyNumberFormat="1" applyFont="1" applyFill="1" applyBorder="1" applyAlignment="1">
      <alignment horizontal="center" vertical="center"/>
    </xf>
    <xf numFmtId="0" fontId="5" fillId="4" borderId="5" xfId="0" applyFont="1" applyFill="1" applyBorder="1" applyAlignment="1">
      <alignment horizontal="center" vertical="center"/>
    </xf>
    <xf numFmtId="0" fontId="5" fillId="3" borderId="5" xfId="0" applyFont="1" applyFill="1" applyBorder="1" applyAlignment="1">
      <alignment horizontal="center" vertical="center"/>
    </xf>
    <xf numFmtId="0" fontId="5" fillId="8" borderId="5" xfId="0" applyFont="1" applyFill="1" applyBorder="1" applyAlignment="1">
      <alignment horizontal="center" vertical="center"/>
    </xf>
    <xf numFmtId="0" fontId="25" fillId="8" borderId="5" xfId="0" applyFont="1" applyFill="1" applyBorder="1" applyAlignment="1">
      <alignment horizontal="center" vertical="center"/>
    </xf>
    <xf numFmtId="2" fontId="5" fillId="8" borderId="5" xfId="2" applyNumberFormat="1" applyFont="1" applyFill="1" applyBorder="1" applyAlignment="1">
      <alignment horizontal="center" vertical="center"/>
    </xf>
    <xf numFmtId="2" fontId="5" fillId="10" borderId="5" xfId="0" applyNumberFormat="1" applyFont="1" applyFill="1" applyBorder="1" applyAlignment="1">
      <alignment horizontal="center" vertical="center"/>
    </xf>
    <xf numFmtId="1" fontId="5" fillId="10" borderId="5" xfId="0" applyNumberFormat="1" applyFont="1" applyFill="1" applyBorder="1" applyAlignment="1">
      <alignment horizontal="center" vertical="center"/>
    </xf>
    <xf numFmtId="166" fontId="5" fillId="12" borderId="5" xfId="0" applyNumberFormat="1" applyFont="1" applyFill="1" applyBorder="1" applyAlignment="1">
      <alignment horizontal="center" vertical="center"/>
    </xf>
    <xf numFmtId="0" fontId="0" fillId="15" borderId="0" xfId="0" applyFill="1"/>
    <xf numFmtId="0" fontId="27" fillId="0" borderId="0" xfId="0" applyFont="1"/>
    <xf numFmtId="0" fontId="27" fillId="15" borderId="0" xfId="0" applyFont="1" applyFill="1"/>
    <xf numFmtId="0" fontId="5" fillId="8" borderId="5" xfId="0" applyFont="1" applyFill="1" applyBorder="1" applyAlignment="1" applyProtection="1">
      <alignment horizontal="center" vertical="center"/>
      <protection hidden="1"/>
    </xf>
    <xf numFmtId="1" fontId="5" fillId="10" borderId="5" xfId="0" applyNumberFormat="1" applyFont="1" applyFill="1" applyBorder="1" applyAlignment="1" applyProtection="1">
      <alignment horizontal="center" vertical="center"/>
      <protection hidden="1"/>
    </xf>
    <xf numFmtId="0" fontId="19" fillId="0" borderId="7" xfId="0" applyFont="1" applyBorder="1"/>
    <xf numFmtId="0" fontId="4" fillId="4" borderId="7" xfId="0" applyFont="1" applyFill="1" applyBorder="1" applyAlignment="1">
      <alignment horizontal="center" vertical="center" wrapText="1"/>
    </xf>
    <xf numFmtId="0" fontId="0" fillId="0" borderId="5" xfId="0" applyBorder="1"/>
    <xf numFmtId="0" fontId="4" fillId="12" borderId="5" xfId="0" applyFont="1" applyFill="1" applyBorder="1" applyAlignment="1">
      <alignment horizontal="center" vertical="center"/>
    </xf>
    <xf numFmtId="0" fontId="5" fillId="0" borderId="5" xfId="0" applyFont="1" applyBorder="1" applyAlignment="1">
      <alignment horizontal="center" vertical="center"/>
    </xf>
    <xf numFmtId="166" fontId="5" fillId="4" borderId="5" xfId="0" applyNumberFormat="1" applyFont="1" applyFill="1" applyBorder="1" applyAlignment="1">
      <alignment horizontal="center" vertical="center"/>
    </xf>
    <xf numFmtId="166" fontId="5" fillId="4" borderId="7" xfId="0" applyNumberFormat="1" applyFont="1" applyFill="1" applyBorder="1" applyAlignment="1">
      <alignment horizontal="center" vertical="center"/>
    </xf>
    <xf numFmtId="0" fontId="30" fillId="0" borderId="0" xfId="0" quotePrefix="1" applyFont="1"/>
    <xf numFmtId="0" fontId="4" fillId="16" borderId="0" xfId="0" applyFont="1" applyFill="1"/>
    <xf numFmtId="0" fontId="4" fillId="17" borderId="0" xfId="0" applyFont="1" applyFill="1"/>
    <xf numFmtId="0" fontId="12" fillId="17" borderId="0" xfId="0" applyFont="1" applyFill="1" applyAlignment="1">
      <alignment horizontal="center" vertical="center"/>
    </xf>
    <xf numFmtId="0" fontId="4" fillId="17" borderId="0" xfId="0" applyFont="1" applyFill="1" applyAlignment="1">
      <alignment horizontal="left" vertical="top" wrapText="1"/>
    </xf>
    <xf numFmtId="0" fontId="13" fillId="17" borderId="0" xfId="0" applyFont="1" applyFill="1" applyAlignment="1">
      <alignment horizontal="left" vertical="top" wrapText="1"/>
    </xf>
    <xf numFmtId="0" fontId="4" fillId="17" borderId="0" xfId="0" applyFont="1" applyFill="1" applyAlignment="1">
      <alignment horizontal="center" vertical="center"/>
    </xf>
    <xf numFmtId="0" fontId="0" fillId="18" borderId="0" xfId="0" applyFill="1"/>
    <xf numFmtId="0" fontId="5" fillId="4" borderId="5" xfId="0" applyFont="1" applyFill="1" applyBorder="1" applyAlignment="1" applyProtection="1">
      <alignment horizontal="center" vertical="center"/>
      <protection hidden="1"/>
    </xf>
    <xf numFmtId="0" fontId="2" fillId="5" borderId="5" xfId="0" applyFont="1" applyFill="1" applyBorder="1" applyAlignment="1">
      <alignment horizontal="center" vertical="center"/>
    </xf>
    <xf numFmtId="0" fontId="2" fillId="6" borderId="5" xfId="0" applyFont="1" applyFill="1" applyBorder="1" applyAlignment="1">
      <alignment horizontal="center" vertical="center"/>
    </xf>
    <xf numFmtId="0" fontId="2" fillId="11" borderId="5" xfId="0" applyFont="1" applyFill="1" applyBorder="1" applyAlignment="1">
      <alignment horizontal="center" vertical="center" wrapText="1"/>
    </xf>
    <xf numFmtId="0" fontId="3" fillId="7" borderId="5" xfId="0" applyFont="1" applyFill="1" applyBorder="1" applyAlignment="1">
      <alignment horizontal="center" vertical="center"/>
    </xf>
    <xf numFmtId="0" fontId="2" fillId="9" borderId="5" xfId="0" applyFont="1" applyFill="1" applyBorder="1" applyAlignment="1">
      <alignment horizontal="center" vertical="center" wrapText="1"/>
    </xf>
    <xf numFmtId="0" fontId="4" fillId="17" borderId="0" xfId="0" applyFont="1" applyFill="1" applyAlignment="1">
      <alignment horizontal="left" vertical="top" wrapText="1"/>
    </xf>
    <xf numFmtId="0" fontId="13" fillId="17" borderId="0" xfId="0" applyFont="1" applyFill="1" applyAlignment="1">
      <alignment horizontal="left" vertical="top" wrapText="1"/>
    </xf>
    <xf numFmtId="0" fontId="17" fillId="0" borderId="4" xfId="0" applyFont="1" applyBorder="1" applyAlignment="1">
      <alignment horizontal="center" vertical="top"/>
    </xf>
  </cellXfs>
  <cellStyles count="3">
    <cellStyle name="Comma" xfId="2" builtinId="3"/>
    <cellStyle name="Normal" xfId="0" builtinId="0"/>
    <cellStyle name="Normal 26" xfId="1" xr:uid="{8E629F3B-48D8-4268-9E5E-D00C0B068256}"/>
  </cellStyles>
  <dxfs count="70">
    <dxf>
      <fill>
        <patternFill>
          <bgColor rgb="FFFFFF00"/>
        </patternFill>
      </fill>
    </dxf>
    <dxf>
      <fill>
        <patternFill>
          <bgColor rgb="FFFF0000"/>
        </patternFill>
      </fill>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165" formatCode="[$-409]mmmm/yy;@"/>
    </dxf>
    <dxf>
      <numFmt numFmtId="165" formatCode="[$-409]mmmm/yy;@"/>
    </dxf>
    <dxf>
      <font>
        <strike val="0"/>
        <outline val="0"/>
        <shadow val="0"/>
        <u val="none"/>
        <vertAlign val="baseline"/>
        <color auto="1"/>
      </font>
      <fill>
        <patternFill patternType="none">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color auto="1"/>
      </font>
      <fill>
        <patternFill patternType="none">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color auto="1"/>
      </font>
      <fill>
        <patternFill patternType="none">
          <bgColor auto="1"/>
        </patternFill>
      </fill>
    </dxf>
    <dxf>
      <font>
        <strike val="0"/>
        <outline val="0"/>
        <shadow val="0"/>
        <vertAlign val="baseline"/>
        <sz val="9"/>
        <color theme="1"/>
        <name val="Arial"/>
        <family val="2"/>
        <scheme val="none"/>
      </font>
    </dxf>
    <dxf>
      <font>
        <strike val="0"/>
        <outline val="0"/>
        <shadow val="0"/>
        <vertAlign val="baseline"/>
        <sz val="9"/>
        <color theme="1"/>
        <name val="Arial"/>
        <family val="2"/>
        <scheme val="none"/>
      </font>
    </dxf>
    <dxf>
      <border outline="0">
        <top style="thin">
          <color theme="1"/>
        </top>
      </border>
    </dxf>
    <dxf>
      <font>
        <strike val="0"/>
        <outline val="0"/>
        <shadow val="0"/>
        <vertAlign val="baseline"/>
        <sz val="9"/>
        <color theme="1"/>
        <name val="Arial"/>
        <family val="2"/>
        <scheme val="none"/>
      </font>
    </dxf>
    <dxf>
      <border outline="0">
        <bottom style="thin">
          <color theme="1"/>
        </bottom>
      </border>
    </dxf>
    <dxf>
      <font>
        <b/>
        <i val="0"/>
        <strike val="0"/>
        <condense val="0"/>
        <extend val="0"/>
        <outline val="0"/>
        <shadow val="0"/>
        <u val="none"/>
        <vertAlign val="baseline"/>
        <sz val="9"/>
        <color theme="1"/>
        <name val="Arial"/>
        <family val="2"/>
        <scheme val="none"/>
      </font>
    </dxf>
    <dxf>
      <font>
        <strike val="0"/>
        <outline val="0"/>
        <shadow val="0"/>
        <vertAlign val="baseline"/>
        <sz val="9"/>
        <color theme="1"/>
        <name val="Arial"/>
        <family val="2"/>
        <scheme val="none"/>
      </font>
    </dxf>
    <dxf>
      <font>
        <strike val="0"/>
        <outline val="0"/>
        <shadow val="0"/>
        <vertAlign val="baseline"/>
        <sz val="9"/>
        <color theme="1"/>
        <name val="Arial"/>
        <family val="2"/>
        <scheme val="none"/>
      </font>
    </dxf>
    <dxf>
      <font>
        <strike val="0"/>
        <outline val="0"/>
        <shadow val="0"/>
        <vertAlign val="baseline"/>
        <sz val="9"/>
        <color theme="1"/>
        <name val="Arial"/>
        <family val="2"/>
        <scheme val="none"/>
      </font>
    </dxf>
    <dxf>
      <font>
        <strike val="0"/>
        <outline val="0"/>
        <shadow val="0"/>
        <vertAlign val="baseline"/>
        <sz val="9"/>
        <color theme="1"/>
        <name val="Arial"/>
        <family val="2"/>
        <scheme val="none"/>
      </font>
    </dxf>
    <dxf>
      <border outline="0">
        <top style="thin">
          <color theme="1"/>
        </top>
      </border>
    </dxf>
    <dxf>
      <font>
        <strike val="0"/>
        <outline val="0"/>
        <shadow val="0"/>
        <vertAlign val="baseline"/>
        <sz val="9"/>
        <color theme="1"/>
        <name val="Arial"/>
        <family val="2"/>
        <scheme val="none"/>
      </font>
    </dxf>
    <dxf>
      <border outline="0">
        <bottom style="thin">
          <color theme="1"/>
        </bottom>
      </border>
    </dxf>
    <dxf>
      <font>
        <b/>
        <i val="0"/>
        <strike val="0"/>
        <condense val="0"/>
        <extend val="0"/>
        <outline val="0"/>
        <shadow val="0"/>
        <u val="none"/>
        <vertAlign val="baseline"/>
        <sz val="9"/>
        <color theme="1"/>
        <name val="Arial"/>
        <family val="2"/>
        <scheme val="none"/>
      </font>
    </dxf>
    <dxf>
      <font>
        <strike val="0"/>
        <outline val="0"/>
        <shadow val="0"/>
        <vertAlign val="baseline"/>
        <sz val="9"/>
        <color theme="1"/>
        <name val="Arial"/>
        <family val="2"/>
        <scheme val="none"/>
      </font>
    </dxf>
    <dxf>
      <font>
        <strike val="0"/>
        <outline val="0"/>
        <shadow val="0"/>
        <vertAlign val="baseline"/>
        <sz val="9"/>
        <color theme="1"/>
        <name val="Arial"/>
        <family val="2"/>
        <scheme val="none"/>
      </font>
    </dxf>
    <dxf>
      <font>
        <strike val="0"/>
        <outline val="0"/>
        <shadow val="0"/>
        <vertAlign val="baseline"/>
        <sz val="9"/>
        <color theme="1"/>
        <name val="Arial"/>
        <family val="2"/>
        <scheme val="none"/>
      </font>
    </dxf>
    <dxf>
      <font>
        <strike val="0"/>
        <outline val="0"/>
        <shadow val="0"/>
        <vertAlign val="baseline"/>
        <sz val="9"/>
        <color theme="1"/>
        <name val="Arial"/>
        <family val="2"/>
        <scheme val="none"/>
      </font>
    </dxf>
    <dxf>
      <font>
        <strike val="0"/>
        <outline val="0"/>
        <shadow val="0"/>
        <vertAlign val="baseline"/>
        <sz val="9"/>
        <color theme="1"/>
        <name val="Arial"/>
        <family val="2"/>
        <scheme val="none"/>
      </font>
    </dxf>
    <dxf>
      <font>
        <strike val="0"/>
        <outline val="0"/>
        <shadow val="0"/>
        <vertAlign val="baseline"/>
        <sz val="9"/>
        <color theme="1"/>
        <name val="Arial"/>
        <family val="2"/>
        <scheme val="none"/>
      </font>
    </dxf>
    <dxf>
      <font>
        <strike val="0"/>
        <outline val="0"/>
        <shadow val="0"/>
        <vertAlign val="baseline"/>
        <sz val="9"/>
        <color theme="1"/>
        <name val="Arial"/>
        <family val="2"/>
        <scheme val="none"/>
      </font>
    </dxf>
    <dxf>
      <font>
        <strike val="0"/>
        <outline val="0"/>
        <shadow val="0"/>
        <vertAlign val="baseline"/>
        <sz val="9"/>
        <color theme="1"/>
        <name val="Arial"/>
        <family val="2"/>
        <scheme val="none"/>
      </font>
    </dxf>
    <dxf>
      <font>
        <strike val="0"/>
        <outline val="0"/>
        <shadow val="0"/>
        <u val="none"/>
        <vertAlign val="baseline"/>
        <sz val="9"/>
        <color theme="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strike val="0"/>
        <outline val="0"/>
        <shadow val="0"/>
        <u val="none"/>
        <vertAlign val="baseline"/>
        <sz val="9"/>
        <color theme="1"/>
        <name val="Arial"/>
        <family val="2"/>
        <scheme val="none"/>
      </font>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strike val="0"/>
        <outline val="0"/>
        <shadow val="0"/>
        <u val="none"/>
        <vertAlign val="baseline"/>
        <sz val="9"/>
        <color theme="1"/>
        <name val="Arial"/>
        <family val="2"/>
        <scheme val="none"/>
      </font>
      <numFmt numFmtId="167" formatCode="m/d/yyyy"/>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strike val="0"/>
        <outline val="0"/>
        <shadow val="0"/>
        <u val="none"/>
        <vertAlign val="baseline"/>
        <sz val="9"/>
        <color theme="1"/>
        <name val="Arial"/>
        <family val="2"/>
        <scheme val="none"/>
      </font>
      <numFmt numFmtId="167" formatCode="m/d/yyyy"/>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9"/>
        <color theme="1"/>
        <name val="Arial"/>
        <family val="2"/>
        <scheme val="none"/>
      </font>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strike val="0"/>
        <outline val="0"/>
        <shadow val="0"/>
        <u val="none"/>
        <vertAlign val="baseline"/>
        <sz val="9"/>
        <color theme="1"/>
        <name val="Arial"/>
        <family val="2"/>
        <scheme val="none"/>
      </font>
      <numFmt numFmtId="1" formatCode="0"/>
      <fill>
        <patternFill>
          <fgColor indexed="64"/>
          <bgColor theme="7"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strike val="0"/>
        <outline val="0"/>
        <shadow val="0"/>
        <u val="none"/>
        <vertAlign val="baseline"/>
        <sz val="9"/>
        <color theme="1"/>
        <name val="Arial"/>
        <family val="2"/>
        <scheme val="none"/>
      </font>
      <numFmt numFmtId="1" formatCode="0"/>
      <fill>
        <patternFill>
          <fgColor indexed="64"/>
          <bgColor theme="7"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strike val="0"/>
        <outline val="0"/>
        <shadow val="0"/>
        <u val="none"/>
        <vertAlign val="baseline"/>
        <sz val="9"/>
        <color theme="1"/>
        <name val="Arial"/>
        <family val="2"/>
        <scheme val="none"/>
      </font>
      <numFmt numFmtId="1" formatCode="0"/>
      <fill>
        <patternFill>
          <fgColor indexed="64"/>
          <bgColor theme="7"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strike val="0"/>
        <outline val="0"/>
        <shadow val="0"/>
        <u val="none"/>
        <vertAlign val="baseline"/>
        <sz val="9"/>
        <color theme="1"/>
        <name val="Arial"/>
        <family val="2"/>
        <scheme val="none"/>
      </font>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strike val="0"/>
        <outline val="0"/>
        <shadow val="0"/>
        <u val="none"/>
        <vertAlign val="baseline"/>
        <sz val="9"/>
        <color theme="1"/>
        <name val="Arial"/>
        <family val="2"/>
        <scheme val="none"/>
      </font>
      <numFmt numFmtId="2" formatCode="0.0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9"/>
        <color theme="1"/>
        <name val="Arial"/>
        <family val="2"/>
        <scheme val="none"/>
      </font>
      <numFmt numFmtId="2" formatCode="0.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family val="2"/>
        <scheme val="none"/>
      </font>
      <numFmt numFmtId="2" formatCode="0.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family val="2"/>
        <scheme val="none"/>
      </font>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9"/>
        <color theme="1"/>
        <name val="Arial"/>
        <family val="2"/>
        <scheme val="none"/>
      </font>
      <numFmt numFmtId="0" formatCode="General"/>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strike val="0"/>
        <outline val="0"/>
        <shadow val="0"/>
        <u val="none"/>
        <vertAlign val="baseline"/>
        <sz val="8"/>
        <color theme="1"/>
        <name val="Arial"/>
        <family val="2"/>
        <scheme val="none"/>
      </font>
      <numFmt numFmtId="0" formatCode="General"/>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9"/>
        <color theme="1"/>
        <name val="Arial"/>
        <family val="2"/>
        <scheme val="none"/>
      </font>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9"/>
        <color theme="1"/>
        <name val="Arial"/>
        <family val="2"/>
        <scheme val="none"/>
      </font>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family val="2"/>
        <scheme val="none"/>
      </font>
      <fill>
        <patternFill patternType="solid">
          <fgColor indexed="64"/>
          <bgColor theme="8"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family val="2"/>
        <scheme val="none"/>
      </font>
      <fill>
        <patternFill patternType="solid">
          <fgColor indexed="64"/>
          <bgColor theme="8"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Arial"/>
        <family val="2"/>
        <scheme val="none"/>
      </font>
      <fill>
        <patternFill patternType="solid">
          <fgColor indexed="64"/>
          <bgColor theme="8"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9"/>
        <color theme="1"/>
        <name val="Arial"/>
        <family val="2"/>
        <scheme val="none"/>
      </font>
      <fill>
        <patternFill patternType="solid">
          <fgColor indexed="64"/>
          <bgColor theme="8"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fill>
        <patternFill patternType="solid">
          <fgColor indexed="64"/>
          <bgColor theme="8"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strike val="0"/>
        <outline val="0"/>
        <shadow val="0"/>
        <u val="none"/>
        <vertAlign val="baseline"/>
        <sz val="9"/>
        <color theme="1"/>
        <name val="Arial"/>
        <family val="2"/>
        <scheme val="none"/>
      </font>
      <fill>
        <patternFill patternType="solid">
          <fgColor indexed="64"/>
          <bgColor theme="8"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strike val="0"/>
        <outline val="0"/>
        <shadow val="0"/>
        <u val="none"/>
        <vertAlign val="baseline"/>
        <sz val="9"/>
        <color theme="1"/>
        <name val="Arial"/>
        <family val="2"/>
        <scheme val="none"/>
      </font>
      <fill>
        <patternFill patternType="solid">
          <fgColor indexed="64"/>
          <bgColor theme="8"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strike val="0"/>
        <outline val="0"/>
        <shadow val="0"/>
        <u val="none"/>
        <vertAlign val="baseline"/>
        <sz val="9"/>
        <color theme="1"/>
        <name val="Arial"/>
        <family val="2"/>
        <scheme val="none"/>
      </font>
      <fill>
        <patternFill patternType="solid">
          <fgColor indexed="64"/>
          <bgColor theme="8"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strike val="0"/>
        <outline val="0"/>
        <shadow val="0"/>
        <u val="none"/>
        <vertAlign val="baseline"/>
        <sz val="9"/>
        <color theme="1"/>
        <name val="Arial"/>
        <family val="2"/>
        <scheme val="none"/>
      </font>
      <fill>
        <patternFill patternType="solid">
          <fgColor indexed="64"/>
          <bgColor theme="8"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strike val="0"/>
        <outline val="0"/>
        <shadow val="0"/>
        <u val="none"/>
        <vertAlign val="baseline"/>
        <sz val="9"/>
        <color theme="1"/>
        <name val="Arial"/>
        <family val="2"/>
        <scheme val="none"/>
      </font>
      <fill>
        <patternFill patternType="solid">
          <fgColor indexed="64"/>
          <bgColor theme="8"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9"/>
        <color theme="1"/>
        <name val="Arial"/>
        <family val="2"/>
        <scheme val="none"/>
      </font>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family val="2"/>
        <scheme val="none"/>
      </font>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strike val="0"/>
        <outline val="0"/>
        <shadow val="0"/>
        <u val="none"/>
        <vertAlign val="baseline"/>
        <sz val="9"/>
        <color theme="1"/>
        <name val="Arial"/>
        <family val="2"/>
        <scheme val="none"/>
      </font>
      <numFmt numFmtId="0" formatCode="General"/>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font>
        <strike val="0"/>
        <outline val="0"/>
        <shadow val="0"/>
        <u val="none"/>
        <vertAlign val="baseline"/>
        <sz val="9"/>
        <color theme="1"/>
        <name val="Arial"/>
        <family val="2"/>
        <scheme val="none"/>
      </font>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9"/>
        <color theme="1"/>
        <name val="Arial"/>
        <family val="2"/>
        <scheme val="none"/>
      </font>
      <numFmt numFmtId="166" formatCode="[$-F800]dddd\,\ mmmm\ dd\,\ yyyy"/>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family val="2"/>
        <scheme val="none"/>
      </font>
      <numFmt numFmtId="165" formatCode="[$-409]mmmm/yy;@"/>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border outline="0">
        <top style="medium">
          <color auto="1"/>
        </top>
      </border>
    </dxf>
    <dxf>
      <font>
        <strike val="0"/>
        <outline val="0"/>
        <shadow val="0"/>
        <u val="none"/>
        <vertAlign val="baseline"/>
        <sz val="9"/>
        <color theme="1"/>
        <name val="Arial"/>
        <family val="2"/>
        <scheme val="none"/>
      </font>
      <alignment horizontal="center" vertical="center" textRotation="0" wrapText="0" indent="0" justifyLastLine="0" shrinkToFit="0" readingOrder="0"/>
      <protection locked="1" hidden="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protection locked="1" hidden="0"/>
    </dxf>
  </dxfs>
  <tableStyles count="0" defaultTableStyle="TableStyleMedium2" defaultPivotStyle="PivotStyleLight16"/>
  <colors>
    <mruColors>
      <color rgb="FF009999"/>
      <color rgb="FF007976"/>
      <color rgb="FF00D1CC"/>
      <color rgb="FF486E30"/>
      <color rgb="FF33CCCC"/>
      <color rgb="FF00B8B4"/>
      <color rgb="FF000999"/>
      <color rgb="FF00BCB8"/>
      <color rgb="FF00ACA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5" Type="http://schemas.openxmlformats.org/officeDocument/2006/relationships/customXml" Target="../customXml/item6.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 Id="rId14"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2393217</xdr:colOff>
      <xdr:row>0</xdr:row>
      <xdr:rowOff>137201</xdr:rowOff>
    </xdr:from>
    <xdr:to>
      <xdr:col>1</xdr:col>
      <xdr:colOff>5388464</xdr:colOff>
      <xdr:row>6</xdr:row>
      <xdr:rowOff>20853</xdr:rowOff>
    </xdr:to>
    <xdr:pic>
      <xdr:nvPicPr>
        <xdr:cNvPr id="3" name="Picture 2">
          <a:extLst>
            <a:ext uri="{FF2B5EF4-FFF2-40B4-BE49-F238E27FC236}">
              <a16:creationId xmlns:a16="http://schemas.microsoft.com/office/drawing/2014/main" id="{EEE6070B-3F7D-B35A-C69C-514FDE742347}"/>
            </a:ext>
          </a:extLst>
        </xdr:cNvPr>
        <xdr:cNvPicPr>
          <a:picLocks noChangeAspect="1"/>
        </xdr:cNvPicPr>
      </xdr:nvPicPr>
      <xdr:blipFill>
        <a:blip xmlns:r="http://schemas.openxmlformats.org/officeDocument/2006/relationships" r:embed="rId1"/>
        <a:stretch>
          <a:fillRect/>
        </a:stretch>
      </xdr:blipFill>
      <xdr:spPr>
        <a:xfrm>
          <a:off x="2521438" y="137201"/>
          <a:ext cx="2995247" cy="87278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826421</xdr:colOff>
      <xdr:row>0</xdr:row>
      <xdr:rowOff>102659</xdr:rowOff>
    </xdr:from>
    <xdr:to>
      <xdr:col>2</xdr:col>
      <xdr:colOff>2119019</xdr:colOff>
      <xdr:row>4</xdr:row>
      <xdr:rowOff>155191</xdr:rowOff>
    </xdr:to>
    <xdr:pic>
      <xdr:nvPicPr>
        <xdr:cNvPr id="3" name="Picture 2">
          <a:extLst>
            <a:ext uri="{FF2B5EF4-FFF2-40B4-BE49-F238E27FC236}">
              <a16:creationId xmlns:a16="http://schemas.microsoft.com/office/drawing/2014/main" id="{13CD0933-1945-4A72-8E77-461384248E23}"/>
            </a:ext>
          </a:extLst>
        </xdr:cNvPr>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bwMode="auto">
        <a:xfrm>
          <a:off x="949324" y="102659"/>
          <a:ext cx="2746953" cy="789951"/>
        </a:xfrm>
        <a:prstGeom prst="rect">
          <a:avLst/>
        </a:prstGeom>
        <a:noFill/>
        <a:ln>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83EF5A-6B18-47CE-B160-AF66F34FD933}" name="Table1" displayName="Table1" ref="A3:AI116" totalsRowShown="0" headerRowDxfId="69" dataDxfId="68" tableBorderDxfId="67">
  <autoFilter ref="A3:AI116" xr:uid="{C983EF5A-6B18-47CE-B160-AF66F34FD933}"/>
  <sortState xmlns:xlrd2="http://schemas.microsoft.com/office/spreadsheetml/2017/richdata2" ref="A4:AI116">
    <sortCondition ref="F3:F116"/>
  </sortState>
  <tableColumns count="35">
    <tableColumn id="28" xr3:uid="{6BBCC4C6-3BB7-46A0-8585-F55DC747376E}" name="Reporting Month_x000a_(Select in the dropdown list)" dataDxfId="66"/>
    <tableColumn id="34" xr3:uid="{01FAF3EE-6CB9-42AC-BE96-61EF944D59AE}" name="Date of Reporting_x000a_DD/MM/YYYY" dataDxfId="65"/>
    <tableColumn id="1" xr3:uid="{A049B694-DF45-4DED-94D9-4FF3C65B2C18}" name="Organisation Name_x000a_(Select in the dropdown list)" dataDxfId="64"/>
    <tableColumn id="2" xr3:uid="{E5F52006-A21B-4723-8F2C-0FC5F8B8A641}" name="Acronym_x000a_(Autofill)" dataDxfId="63">
      <calculatedColumnFormula array="1">_xlfn.XLOOKUP(Table1[[#This Row],[Organisation Name
(Select in the dropdown list)]],Table18[[#All],[Organization]],Table18[[#All],[Acronym]],"",0)</calculatedColumnFormula>
    </tableColumn>
    <tableColumn id="3" xr3:uid="{E123445D-2413-4088-BC28-208CAEA77192}" name="Type_x000a_(Select in the dropdown list)" dataDxfId="62"/>
    <tableColumn id="20" xr3:uid="{1283B02B-3A9E-4C26-BAC7-BE465FF81DEE}" name="Donor_x000a_(Select in the dropdown list)" dataDxfId="61"/>
    <tableColumn id="15" xr3:uid="{3F88DF28-F2A3-44CA-A975-BC88E29B231D}" name="Implementing Partners" dataDxfId="60"/>
    <tableColumn id="4" xr3:uid="{E8C2B2D5-B48A-4CA0-8D5B-23ABDB35A363}" name="State_x000a_(Select in the dropdown list)" dataDxfId="59"/>
    <tableColumn id="5" xr3:uid="{99802938-21E8-4C18-B06E-A39AD023CAF2}" name="Pcode_ADM1_x000a_(automatically filled)" dataDxfId="58">
      <calculatedColumnFormula>INDEX(Tbl_Adm1[Adm1_Pcode],MATCH(Table1[[#This Row],[State
(Select in the dropdown list)]],Tbl_Adm1[ADM1],0))</calculatedColumnFormula>
    </tableColumn>
    <tableColumn id="6" xr3:uid="{6A837CCD-EDB5-4E59-A860-AE377B9EED13}" name="LGA_x000a_(Select in the dropdown list)" dataDxfId="57"/>
    <tableColumn id="7" xr3:uid="{AB29C8B0-38DB-4113-8011-E1EEED686044}" name="Pcode_ADM2_x000a_(automatically filled)" dataDxfId="56">
      <calculatedColumnFormula array="1">INDEX(Tbl_Adm2[Adm2_Pcode],MATCH(Table1[[#This Row],[Pcode_ADM1
(automatically filled)]]&amp;Table1[[#This Row],[LGA
(Select in the dropdown list)]],Tbl_Adm2[Adm1_Pcode]&amp;Tbl_Adm2[ADM2],0))</calculatedColumnFormula>
    </tableColumn>
    <tableColumn id="8" xr3:uid="{8B920543-CF59-4516-A440-FBC00862F61F}" name="Ward_x000a_(Select in the dropdown list)" dataDxfId="55"/>
    <tableColumn id="9" xr3:uid="{B524925F-87AE-43AD-BDE1-65398FBA3CE6}" name="Pcode_ADM3_x000a_(automatically filled)" dataDxfId="54">
      <calculatedColumnFormula array="1">INDEX(Tbl_Adm3[Adm3_Pcode],MATCH(Table1[[#This Row],[Pcode_ADM2
(automatically filled)]]&amp;Table1[[#This Row],[Ward
(Select in the dropdown list)]],Tbl_Adm3[Adm2_Pcode]&amp;Tbl_Adm3[ADM3],0))</calculatedColumnFormula>
    </tableColumn>
    <tableColumn id="31" xr3:uid="{1BF381E6-C601-4CD0-B254-C03F1152B8DE}" name="Type of Location_x000a_(Select in the dropdown list)" dataDxfId="53"/>
    <tableColumn id="10" xr3:uid="{60F4B7BC-F098-4A94-98A3-B0B5ACC55C04}" name="Location Name   " dataDxfId="52"/>
    <tableColumn id="35" xr3:uid="{4A6C8211-DDB5-4557-9DB0-09B94C052CBD}" name="Location Population" dataDxfId="51"/>
    <tableColumn id="33" xr3:uid="{933518DF-CB6E-4B45-9292-56EFC8C1C218}" name="Latitude, Longitude _x000a_(For Borehole, Shallow well, hand Dug well or Sanitation facilities) " dataDxfId="50"/>
    <tableColumn id="21" xr3:uid="{1AA585F7-245B-4944-85E1-7601C366B37C}" name="Intervention / Emergency Type_x000a_(Select in the dropdown list)" dataDxfId="49"/>
    <tableColumn id="11" xr3:uid="{E56756D5-0AA2-467E-B0F0-A30A0E3952BE}" name="WASH Domain_x000a_(Select in the dropdown list)" dataDxfId="48"/>
    <tableColumn id="13" xr3:uid="{D78400B7-ABBC-43A6-A8E9-C90F4656C248}" name="Activity_x000a_(Select in the dropdown list)" dataDxfId="47"/>
    <tableColumn id="12" xr3:uid="{F7B1FF7D-B281-4096-B1FD-AFBEDFD9A4A1}" name="Indicators_x000a_(automatically filled)" dataDxfId="46">
      <calculatedColumnFormula>IFERROR(VLOOKUP(Table1[[#This Row],[Activity
(Select in the dropdown list)]],Tbl_ActDet[[#All],[Activity]:[Indicators]],2,FALSE),"")</calculatedColumnFormula>
    </tableColumn>
    <tableColumn id="22" xr3:uid="{7EF45F85-1052-49EB-A364-9A8BC849642D}" name="Unit_x000a_(automatically filled)" dataDxfId="45">
      <calculatedColumnFormula array="1">IFERROR(INDEX(Tbl_ActDet[Units],MATCH(Table1[[#This Row],[WASH Domain
(Select in the dropdown list)]]&amp;Table1[[#This Row],[Activity
(Select in the dropdown list)]]&amp;Table1[[#This Row],[Indicators
(automatically filled)]],Tbl_ActDet[Domain]&amp;Tbl_ActDet[Activity]&amp;Tbl_ActDet[Indicators],0)),"")</calculatedColumnFormula>
    </tableColumn>
    <tableColumn id="32" xr3:uid="{004160AF-E9C5-45CA-A40A-DF7EE3EB3DAD}" name="Is HRP activity?_x000a_(Select in the dropdown list)" dataDxfId="44"/>
    <tableColumn id="23" xr3:uid="{FDEAACD7-7526-4DFC-8854-7523BBDDCF9D}" name="Quantity_x000a_Planned" dataDxfId="43" dataCellStyle="Comma"/>
    <tableColumn id="29" xr3:uid="{4FC7D408-1CFC-4193-AADA-50665A870DF9}" name="Quantity_x000a_Achieved" dataDxfId="42" dataCellStyle="Comma"/>
    <tableColumn id="14" xr3:uid="{44098A51-3D24-4F16-912D-45F8A873E45A}" name="Beneficiary Type_x000a_(Select in the dropdown list)" dataDxfId="41"/>
    <tableColumn id="16" xr3:uid="{7B6AB75C-9C61-4637-858B-C9203F7023FE}" name="#Beneficiary_x000a_Boys" dataDxfId="40"/>
    <tableColumn id="17" xr3:uid="{93D43E57-7E87-40B1-90CE-6CCF38F81B42}" name="#Beneficiary_x000a_Girl" dataDxfId="39"/>
    <tableColumn id="18" xr3:uid="{089F6017-A042-4CF3-9B6B-CA83D41AA78C}" name="#Beneficiary_x000a_Men" dataDxfId="38"/>
    <tableColumn id="19" xr3:uid="{5D50019F-3FF8-44AA-AE81-512D4F710598}" name="#Beneficiary_x000a_Women" dataDxfId="37"/>
    <tableColumn id="30" xr3:uid="{35BEAB00-4BDC-4144-9913-3E2C4A931015}" name="# Total Beneficiary_x000a_(if disaggregation unavailable)" dataDxfId="36">
      <calculatedColumnFormula>SUM(Table1[[#This Row],['#Beneficiary
Boys]:['#Beneficiary
Women]])</calculatedColumnFormula>
    </tableColumn>
    <tableColumn id="24" xr3:uid="{6404C36D-9D19-4298-B150-4CD893D96289}" name="Starting date_x000a_DD/MM/YYYY" dataDxfId="35"/>
    <tableColumn id="25" xr3:uid="{961569D6-995D-4399-B409-2EA1EE17E5FF}" name="End date_x000a_DD/MM/YYYY" dataDxfId="34"/>
    <tableColumn id="26" xr3:uid="{F797E6BE-9E14-4957-B3F5-35C241E86CDE}" name="Status_x000a_(Select in the dropdown list)" dataDxfId="33"/>
    <tableColumn id="27" xr3:uid="{82123667-296C-4AE9-B8F0-64A8F79D5138}" name="Comments" dataDxfId="32"/>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D7B5E-1EBB-4472-B53A-D49DF7CF5660}" name="Tbl_Adm3" displayName="Tbl_Adm3" ref="A1:F715" totalsRowShown="0" headerRowDxfId="31" dataDxfId="30">
  <autoFilter ref="A1:F715" xr:uid="{9B7D7B5E-1EBB-4472-B53A-D49DF7CF5660}"/>
  <sortState xmlns:xlrd2="http://schemas.microsoft.com/office/spreadsheetml/2017/richdata2" ref="A2:F715">
    <sortCondition ref="A2:A715"/>
    <sortCondition ref="C2:C715"/>
    <sortCondition ref="E2:E715"/>
  </sortState>
  <tableColumns count="6">
    <tableColumn id="1" xr3:uid="{C7CB26D3-AF38-42BF-99C0-9D9D993E7540}" name="ADM1" dataDxfId="29"/>
    <tableColumn id="2" xr3:uid="{90411564-FA0B-449C-9A9D-5267BA8B2389}" name="Adm1_Pcode" dataDxfId="28"/>
    <tableColumn id="3" xr3:uid="{97509C55-B09F-4036-B6ED-7B77CD7B90F6}" name="ADM2" dataDxfId="27"/>
    <tableColumn id="4" xr3:uid="{1640B10C-2949-4400-BC77-88720AB2BF17}" name="Adm2_Pcode" dataDxfId="26"/>
    <tableColumn id="5" xr3:uid="{629E0A83-0E98-4123-BF41-527BC2EF78D7}" name="ADM3" dataDxfId="25"/>
    <tableColumn id="6" xr3:uid="{E1055F63-8D93-49F9-BDAF-541FC849DC14}" name="Adm3_Pcode" dataDxfId="24"/>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40C3625-ECCE-4DFE-B454-64C5A21C7EE4}" name="Tbl_Adm2" displayName="Tbl_Adm2" ref="I1:L66" totalsRowShown="0" headerRowDxfId="23" dataDxfId="21" headerRowBorderDxfId="22" tableBorderDxfId="20">
  <autoFilter ref="I1:L66" xr:uid="{C40C3625-ECCE-4DFE-B454-64C5A21C7EE4}"/>
  <tableColumns count="4">
    <tableColumn id="1" xr3:uid="{652245FD-AC1A-44F8-955F-3A495C409627}" name="ADM1" dataDxfId="19"/>
    <tableColumn id="2" xr3:uid="{7220D26C-9E9F-4B71-9D9A-51A4081C2C11}" name="Adm1_Pcode" dataDxfId="18"/>
    <tableColumn id="3" xr3:uid="{48431E96-4843-4C5C-B97B-AD1B6728C15C}" name="ADM2" dataDxfId="17"/>
    <tableColumn id="4" xr3:uid="{0A81EEB4-A2E7-4AAF-9F87-6FF9D2447D9B}" name="Adm2_Pcode" dataDxfId="16"/>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966186C-0FD4-4FBA-B2B8-9D5C9ED3636C}" name="Tbl_Adm1" displayName="Tbl_Adm1" ref="O1:P4" totalsRowShown="0" headerRowDxfId="15" dataDxfId="13" headerRowBorderDxfId="14" tableBorderDxfId="12">
  <autoFilter ref="O1:P4" xr:uid="{D966186C-0FD4-4FBA-B2B8-9D5C9ED3636C}"/>
  <tableColumns count="2">
    <tableColumn id="1" xr3:uid="{1032D0F9-3E84-43A4-9A77-5AEEB0535B2F}" name="ADM1" dataDxfId="11"/>
    <tableColumn id="2" xr3:uid="{74B3999C-08A0-4EFC-ADCC-6971A8D9F457}" name="Adm1_Pcode" dataDxfId="10"/>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6828953-F699-4F46-A3DC-6CA8CE2B013F}" name="Table5" displayName="Table5" ref="V1:V4" totalsRowShown="0">
  <autoFilter ref="V1:V4" xr:uid="{D6828953-F699-4F46-A3DC-6CA8CE2B013F}"/>
  <tableColumns count="1">
    <tableColumn id="1" xr3:uid="{72FD63FA-5322-49F7-9DAA-7473EDABE389}" name="Domain"/>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C0FEAAB-380C-4A9F-B6FC-7D66AF1A6FC4}" name="Table6" displayName="Table6" ref="S1:S6" totalsRowShown="0">
  <autoFilter ref="S1:S6" xr:uid="{5C0FEAAB-380C-4A9F-B6FC-7D66AF1A6FC4}"/>
  <tableColumns count="1">
    <tableColumn id="1" xr3:uid="{255D7D9B-245F-48EF-AA2A-7E8D8D168518}" name="Type"/>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96F0580-A833-4BD7-976B-08948FF0C47C}" name="Tbl_Act" displayName="Tbl_Act" ref="Y1:Z41" totalsRowShown="0" dataDxfId="9">
  <autoFilter ref="Y1:Z41" xr:uid="{E96F0580-A833-4BD7-976B-08948FF0C47C}"/>
  <tableColumns count="2">
    <tableColumn id="1" xr3:uid="{713BCDF8-8E60-48A9-A6C9-6BE6EBCF5D49}" name="Domain" dataDxfId="8"/>
    <tableColumn id="2" xr3:uid="{36EC3DBC-315D-4E73-8BB7-461A9DE781AB}" name="Activity" dataDxfId="7"/>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D53C475-27BB-4759-A2FA-077F54814253}" name="Tbl_ActDet" displayName="Tbl_ActDet" ref="AC1:AH41" totalsRowShown="0">
  <autoFilter ref="AC1:AH41" xr:uid="{BD53C475-27BB-4759-A2FA-077F54814253}"/>
  <sortState xmlns:xlrd2="http://schemas.microsoft.com/office/spreadsheetml/2017/richdata2" ref="AC2:AF41">
    <sortCondition descending="1" ref="AC2:AC41"/>
  </sortState>
  <tableColumns count="6">
    <tableColumn id="1" xr3:uid="{0DA15C20-6F11-4221-9A66-538463D863B7}" name="Domain"/>
    <tableColumn id="2" xr3:uid="{51B6A1DB-33B8-4751-B642-82F30E9BD096}" name="Activity"/>
    <tableColumn id="3" xr3:uid="{9F66ED86-E7BD-4E2E-AE31-1F9A3D3EB293}" name="Indicators"/>
    <tableColumn id="4" xr3:uid="{E09F7E70-B792-474B-97AF-B618F680716C}" name="Units"/>
    <tableColumn id="5" xr3:uid="{9AF0CDDF-331E-48B5-AA97-99435C219F30}" name="SO"/>
    <tableColumn id="6" xr3:uid="{B8B93851-FCD6-4A8B-8F61-9802F723E31E}" name="Sub-SO"/>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03DEF12-DB6E-46ED-9360-0FEC3EEFDF81}" name="Table9" displayName="Table9" ref="AT1:AT9" totalsRowShown="0">
  <autoFilter ref="AT1:AT9" xr:uid="{B03DEF12-DB6E-46ED-9360-0FEC3EEFDF81}"/>
  <tableColumns count="1">
    <tableColumn id="1" xr3:uid="{F88E2F82-A15E-44F1-A585-27CB537258D3}" name="Emergency List"/>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24E4D54-CDD1-46A5-B62C-873B6C0DA730}" name="Table10" displayName="Table10" ref="AQ1:AQ4" totalsRowShown="0">
  <autoFilter ref="AQ1:AQ4" xr:uid="{124E4D54-CDD1-46A5-B62C-873B6C0DA730}"/>
  <tableColumns count="1">
    <tableColumn id="1" xr3:uid="{0964F7E1-7CF4-4D58-BBCF-48E82C824AE0}" name="Modality"/>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B4BFDC6-2111-444B-B59C-70B4E618927D}" name="Table11" displayName="Table11" ref="AN1:AN5" totalsRowShown="0">
  <autoFilter ref="AN1:AN5" xr:uid="{7B4BFDC6-2111-444B-B59C-70B4E618927D}"/>
  <tableColumns count="1">
    <tableColumn id="1" xr3:uid="{43F4EE96-C703-44AC-B0A8-8DC1495E91D1}" name="Beneficiary Type"/>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3963199-4B9B-4F65-BB90-C49EB6B13674}" name="Table12" displayName="Table12" ref="AK1:AK6" totalsRowShown="0">
  <autoFilter ref="AK1:AK6" xr:uid="{63963199-4B9B-4F65-BB90-C49EB6B13674}"/>
  <tableColumns count="1">
    <tableColumn id="1" xr3:uid="{0AD407E0-8D96-4773-8FFD-38433B25EC32}" name="Status"/>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3C39AB7-599D-4D54-91AE-668B851CB8A8}" name="Table13" displayName="Table13" ref="AW1:AW7" totalsRowShown="0">
  <autoFilter ref="AW1:AW7" xr:uid="{53C39AB7-599D-4D54-91AE-668B851CB8A8}"/>
  <sortState xmlns:xlrd2="http://schemas.microsoft.com/office/spreadsheetml/2017/richdata2" ref="AW2:AW7">
    <sortCondition ref="AW2:AW7"/>
  </sortState>
  <tableColumns count="1">
    <tableColumn id="1" xr3:uid="{E1FEF623-C7E9-49B1-A32B-1262CD724D0E}" name="SiteType "/>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F7559BA-7BE2-4AF9-BE7A-97907348C15F}" name="Date" displayName="Date" ref="AY1:AY13" totalsRowShown="0" dataDxfId="6">
  <autoFilter ref="AY1:AY13" xr:uid="{2F7559BA-7BE2-4AF9-BE7A-97907348C15F}"/>
  <tableColumns count="1">
    <tableColumn id="1" xr3:uid="{4B48B10E-8B1E-459D-90C2-06008BC7A419}" name="Date" dataDxfId="5"/>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98F6199-4E17-4C7F-B0CC-F8F3D38F2375}" name="Donors" displayName="Donors" ref="BA1:BA17" totalsRowShown="0">
  <autoFilter ref="BA1:BA17" xr:uid="{398F6199-4E17-4C7F-B0CC-F8F3D38F2375}"/>
  <sortState xmlns:xlrd2="http://schemas.microsoft.com/office/spreadsheetml/2017/richdata2" ref="BA2:BA17">
    <sortCondition ref="BA2:BA17"/>
  </sortState>
  <tableColumns count="1">
    <tableColumn id="1" xr3:uid="{DEF97AC2-2FBD-41DC-9886-1E25F67AAC18}" name="Donor"/>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451E951-B382-407F-A61C-C512F30C0C24}" name="Table16" displayName="Table16" ref="BC1:BC4" totalsRowShown="0" headerRowDxfId="4" headerRowBorderDxfId="3" tableBorderDxfId="2">
  <autoFilter ref="BC1:BC4" xr:uid="{D451E951-B382-407F-A61C-C512F30C0C24}"/>
  <tableColumns count="1">
    <tableColumn id="1" xr3:uid="{095054FE-9A53-4519-BE11-200C0EE05508}" name="Is HRP activity?"/>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8284DEC-6A46-4A52-A859-CA5DCB5EEB60}" name="Table17" displayName="Table17" ref="BE1:BE4" totalsRowShown="0">
  <autoFilter ref="BE1:BE4" xr:uid="{08284DEC-6A46-4A52-A859-CA5DCB5EEB60}"/>
  <tableColumns count="1">
    <tableColumn id="1" xr3:uid="{90D362FC-AB93-45B2-9F75-CB85F41B6524}" name="Organization Type"/>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F3B5598-AB27-485D-8691-64CF5E5B4593}" name="Table18" displayName="Table18" ref="BG1:BH142" totalsRowShown="0">
  <autoFilter ref="BG1:BH142" xr:uid="{DF3B5598-AB27-485D-8691-64CF5E5B4593}"/>
  <sortState xmlns:xlrd2="http://schemas.microsoft.com/office/spreadsheetml/2017/richdata2" ref="BG2:BH141">
    <sortCondition ref="BG2:BG141"/>
  </sortState>
  <tableColumns count="2">
    <tableColumn id="1" xr3:uid="{A779F32C-F8F3-440E-A398-B7B1F8ACFF74}" name="Organization"/>
    <tableColumn id="2" xr3:uid="{29E190A7-D331-470F-B8E6-1342CA9AB2B0}" name="Acrony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8" Type="http://schemas.openxmlformats.org/officeDocument/2006/relationships/table" Target="../tables/table9.xml"/><Relationship Id="rId13" Type="http://schemas.openxmlformats.org/officeDocument/2006/relationships/table" Target="../tables/table14.xml"/><Relationship Id="rId3" Type="http://schemas.openxmlformats.org/officeDocument/2006/relationships/table" Target="../tables/table4.xml"/><Relationship Id="rId7" Type="http://schemas.openxmlformats.org/officeDocument/2006/relationships/table" Target="../tables/table8.xml"/><Relationship Id="rId12" Type="http://schemas.openxmlformats.org/officeDocument/2006/relationships/table" Target="../tables/table13.xml"/><Relationship Id="rId17" Type="http://schemas.openxmlformats.org/officeDocument/2006/relationships/table" Target="../tables/table18.xml"/><Relationship Id="rId2" Type="http://schemas.openxmlformats.org/officeDocument/2006/relationships/table" Target="../tables/table3.xml"/><Relationship Id="rId16" Type="http://schemas.openxmlformats.org/officeDocument/2006/relationships/table" Target="../tables/table17.xml"/><Relationship Id="rId1" Type="http://schemas.openxmlformats.org/officeDocument/2006/relationships/table" Target="../tables/table2.xml"/><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5" Type="http://schemas.openxmlformats.org/officeDocument/2006/relationships/table" Target="../tables/table1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 Id="rId14"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B37"/>
  <sheetViews>
    <sheetView showGridLines="0" tabSelected="1" topLeftCell="A7" zoomScale="89" zoomScaleNormal="89" zoomScaleSheetLayoutView="148" workbookViewId="0">
      <selection activeCell="B33" sqref="B33"/>
    </sheetView>
  </sheetViews>
  <sheetFormatPr defaultColWidth="8.81640625" defaultRowHeight="12.5" x14ac:dyDescent="0.25"/>
  <cols>
    <col min="1" max="1" width="1.81640625" style="47" customWidth="1"/>
    <col min="2" max="2" width="115.81640625" style="47" customWidth="1"/>
    <col min="3" max="3" width="1.1796875" style="47" customWidth="1"/>
    <col min="4" max="16384" width="8.81640625" style="47"/>
  </cols>
  <sheetData>
    <row r="1" spans="2:2" x14ac:dyDescent="0.25">
      <c r="B1" s="48"/>
    </row>
    <row r="2" spans="2:2" x14ac:dyDescent="0.25">
      <c r="B2" s="48"/>
    </row>
    <row r="3" spans="2:2" x14ac:dyDescent="0.25">
      <c r="B3" s="48"/>
    </row>
    <row r="4" spans="2:2" x14ac:dyDescent="0.25">
      <c r="B4" s="48"/>
    </row>
    <row r="5" spans="2:2" x14ac:dyDescent="0.25">
      <c r="B5" s="48"/>
    </row>
    <row r="6" spans="2:2" x14ac:dyDescent="0.25">
      <c r="B6" s="48"/>
    </row>
    <row r="7" spans="2:2" x14ac:dyDescent="0.25">
      <c r="B7" s="48"/>
    </row>
    <row r="8" spans="2:2" ht="29.5" x14ac:dyDescent="0.25">
      <c r="B8" s="49" t="s">
        <v>0</v>
      </c>
    </row>
    <row r="9" spans="2:2" x14ac:dyDescent="0.25">
      <c r="B9" s="48"/>
    </row>
    <row r="10" spans="2:2" x14ac:dyDescent="0.25">
      <c r="B10" s="60" t="s">
        <v>1705</v>
      </c>
    </row>
    <row r="11" spans="2:2" x14ac:dyDescent="0.25">
      <c r="B11" s="60"/>
    </row>
    <row r="12" spans="2:2" ht="16.5" customHeight="1" x14ac:dyDescent="0.25">
      <c r="B12" s="60"/>
    </row>
    <row r="13" spans="2:2" ht="10.5" hidden="1" customHeight="1" x14ac:dyDescent="0.25">
      <c r="B13" s="50"/>
    </row>
    <row r="14" spans="2:2" ht="12.65" hidden="1" customHeight="1" x14ac:dyDescent="0.25">
      <c r="B14" s="61" t="s">
        <v>1</v>
      </c>
    </row>
    <row r="15" spans="2:2" ht="12.65" hidden="1" customHeight="1" x14ac:dyDescent="0.25">
      <c r="B15" s="61"/>
    </row>
    <row r="16" spans="2:2" ht="12.65" hidden="1" customHeight="1" x14ac:dyDescent="0.25">
      <c r="B16" s="61"/>
    </row>
    <row r="17" spans="2:2" ht="12.65" hidden="1" customHeight="1" x14ac:dyDescent="0.25">
      <c r="B17" s="61"/>
    </row>
    <row r="18" spans="2:2" ht="12.65" hidden="1" customHeight="1" x14ac:dyDescent="0.25">
      <c r="B18" s="61"/>
    </row>
    <row r="19" spans="2:2" ht="12.65" hidden="1" customHeight="1" x14ac:dyDescent="0.25">
      <c r="B19" s="61"/>
    </row>
    <row r="20" spans="2:2" ht="12.65" hidden="1" customHeight="1" x14ac:dyDescent="0.25">
      <c r="B20" s="61"/>
    </row>
    <row r="21" spans="2:2" ht="9.65" hidden="1" customHeight="1" x14ac:dyDescent="0.25">
      <c r="B21" s="61"/>
    </row>
    <row r="22" spans="2:2" ht="9.65" hidden="1" customHeight="1" x14ac:dyDescent="0.25">
      <c r="B22" s="51"/>
    </row>
    <row r="23" spans="2:2" hidden="1" x14ac:dyDescent="0.25">
      <c r="B23" s="48"/>
    </row>
    <row r="24" spans="2:2" ht="12.65" customHeight="1" x14ac:dyDescent="0.25">
      <c r="B24" s="61" t="s">
        <v>1706</v>
      </c>
    </row>
    <row r="25" spans="2:2" ht="12.65" customHeight="1" x14ac:dyDescent="0.25">
      <c r="B25" s="61"/>
    </row>
    <row r="26" spans="2:2" ht="12.65" customHeight="1" x14ac:dyDescent="0.25">
      <c r="B26" s="61"/>
    </row>
    <row r="27" spans="2:2" ht="12.65" customHeight="1" x14ac:dyDescent="0.25">
      <c r="B27" s="61"/>
    </row>
    <row r="28" spans="2:2" ht="12.65" customHeight="1" x14ac:dyDescent="0.25">
      <c r="B28" s="61"/>
    </row>
    <row r="29" spans="2:2" ht="12.65" customHeight="1" x14ac:dyDescent="0.25">
      <c r="B29" s="61"/>
    </row>
    <row r="30" spans="2:2" ht="31.5" customHeight="1" x14ac:dyDescent="0.25">
      <c r="B30" s="61"/>
    </row>
    <row r="31" spans="2:2" x14ac:dyDescent="0.25">
      <c r="B31" s="48"/>
    </row>
    <row r="32" spans="2:2" x14ac:dyDescent="0.25">
      <c r="B32" s="48"/>
    </row>
    <row r="33" spans="2:2" ht="18.5" customHeight="1" x14ac:dyDescent="0.25">
      <c r="B33" s="52" t="s">
        <v>1745</v>
      </c>
    </row>
    <row r="34" spans="2:2" x14ac:dyDescent="0.25">
      <c r="B34" s="48"/>
    </row>
    <row r="35" spans="2:2" x14ac:dyDescent="0.25">
      <c r="B35" s="48"/>
    </row>
    <row r="36" spans="2:2" x14ac:dyDescent="0.25">
      <c r="B36" s="48"/>
    </row>
    <row r="37" spans="2:2" x14ac:dyDescent="0.25">
      <c r="B37" s="48"/>
    </row>
  </sheetData>
  <sheetProtection algorithmName="SHA-512" hashValue="5vq49ToqLwY5ACIIjr2OeWRpIuSUYTj7hAJhDlk63wSl84u661NrQGgUbLtNr0jHizykqvm6bBo6fObQXzXDBw==" saltValue="KkDmHAss6+AoGnPY/tWJdA==" spinCount="100000" sheet="1" objects="1" scenarios="1"/>
  <mergeCells count="3">
    <mergeCell ref="B10:B12"/>
    <mergeCell ref="B14:B21"/>
    <mergeCell ref="B24:B30"/>
  </mergeCells>
  <pageMargins left="0.7" right="0.7" top="0.75" bottom="0.75" header="0.3" footer="0.3"/>
  <pageSetup scale="93" orientation="portrait" r:id="rId1"/>
  <colBreaks count="1" manualBreakCount="1">
    <brk id="1" max="36"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20A44-9629-4C42-BE0C-658D20605C6B}">
  <sheetPr codeName="Sheet2"/>
  <dimension ref="B7:C15"/>
  <sheetViews>
    <sheetView showGridLines="0" view="pageBreakPreview" zoomScale="93" zoomScaleNormal="100" zoomScaleSheetLayoutView="93" workbookViewId="0">
      <selection activeCell="B14" sqref="B14"/>
    </sheetView>
  </sheetViews>
  <sheetFormatPr defaultRowHeight="14.5" x14ac:dyDescent="0.35"/>
  <cols>
    <col min="1" max="1" width="1.81640625" customWidth="1"/>
    <col min="2" max="2" width="20.81640625" customWidth="1"/>
    <col min="3" max="3" width="45.453125" customWidth="1"/>
    <col min="4" max="4" width="1.81640625" customWidth="1"/>
  </cols>
  <sheetData>
    <row r="7" spans="2:3" ht="25.5" thickBot="1" x14ac:dyDescent="0.4">
      <c r="B7" s="62" t="s">
        <v>0</v>
      </c>
      <c r="C7" s="62"/>
    </row>
    <row r="10" spans="2:3" x14ac:dyDescent="0.35">
      <c r="B10" t="s">
        <v>2</v>
      </c>
      <c r="C10" s="4" t="s">
        <v>1612</v>
      </c>
    </row>
    <row r="11" spans="2:3" x14ac:dyDescent="0.35">
      <c r="B11" t="s">
        <v>3</v>
      </c>
      <c r="C11" s="4" t="s">
        <v>1610</v>
      </c>
    </row>
    <row r="12" spans="2:3" x14ac:dyDescent="0.35">
      <c r="B12" t="s">
        <v>4</v>
      </c>
      <c r="C12" s="3" t="s">
        <v>5</v>
      </c>
    </row>
    <row r="13" spans="2:3" x14ac:dyDescent="0.35">
      <c r="B13" t="s">
        <v>6</v>
      </c>
      <c r="C13" s="4"/>
    </row>
    <row r="14" spans="2:3" x14ac:dyDescent="0.35">
      <c r="B14" t="s">
        <v>7</v>
      </c>
      <c r="C14" s="5"/>
    </row>
    <row r="15" spans="2:3" x14ac:dyDescent="0.35">
      <c r="B15" t="s">
        <v>8</v>
      </c>
      <c r="C15" s="4"/>
    </row>
  </sheetData>
  <mergeCells count="1">
    <mergeCell ref="B7:C7"/>
  </mergeCells>
  <dataValidations count="2">
    <dataValidation allowBlank="1" showInputMessage="1" showErrorMessage="1" prompt="Enter the  full name of your oganisation" sqref="C10" xr:uid="{72AB8111-1946-47FE-8490-DBC1892FCC64}"/>
    <dataValidation type="list" allowBlank="1" showInputMessage="1" showErrorMessage="1" sqref="C12" xr:uid="{20E3AB6D-6281-4A55-BD1F-E313F97BDB19}">
      <formula1>OrgType</formula1>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E72DE-B65E-4BDE-97CF-53ED76E14D99}">
  <sheetPr codeName="Sheet3"/>
  <dimension ref="A1:AI116"/>
  <sheetViews>
    <sheetView showGridLines="0" zoomScale="92" zoomScaleNormal="92" workbookViewId="0">
      <pane ySplit="3" topLeftCell="A4" activePane="bottomLeft" state="frozen"/>
      <selection pane="bottomLeft" activeCell="C5" sqref="C5"/>
    </sheetView>
  </sheetViews>
  <sheetFormatPr defaultRowHeight="14.5" x14ac:dyDescent="0.35"/>
  <cols>
    <col min="1" max="1" width="18.81640625" customWidth="1"/>
    <col min="2" max="2" width="15.54296875" customWidth="1"/>
    <col min="3" max="3" width="29.54296875" customWidth="1"/>
    <col min="4" max="4" width="22" customWidth="1"/>
    <col min="5" max="5" width="22.81640625" customWidth="1"/>
    <col min="6" max="6" width="21.1796875" customWidth="1"/>
    <col min="7" max="7" width="19.1796875" customWidth="1"/>
    <col min="8" max="8" width="15.54296875" customWidth="1"/>
    <col min="9" max="9" width="17.54296875" hidden="1" customWidth="1"/>
    <col min="10" max="10" width="13.81640625" customWidth="1"/>
    <col min="11" max="11" width="17.54296875" hidden="1" customWidth="1"/>
    <col min="12" max="12" width="14.453125" customWidth="1"/>
    <col min="13" max="13" width="15.54296875" hidden="1" customWidth="1"/>
    <col min="14" max="14" width="19.90625" customWidth="1"/>
    <col min="15" max="16" width="21.1796875" customWidth="1"/>
    <col min="17" max="17" width="29.81640625" customWidth="1"/>
    <col min="18" max="18" width="23.1796875" customWidth="1"/>
    <col min="19" max="19" width="22.1796875" customWidth="1"/>
    <col min="20" max="20" width="24.1796875" bestFit="1" customWidth="1"/>
    <col min="21" max="21" width="100.1796875" hidden="1" customWidth="1"/>
    <col min="22" max="25" width="17.1796875" customWidth="1"/>
    <col min="26" max="29" width="18.453125" bestFit="1" customWidth="1"/>
    <col min="30" max="30" width="13.1796875" bestFit="1" customWidth="1"/>
    <col min="31" max="31" width="16.81640625" customWidth="1"/>
    <col min="32" max="32" width="13.81640625" bestFit="1" customWidth="1"/>
    <col min="33" max="33" width="20.6328125" bestFit="1" customWidth="1"/>
    <col min="34" max="34" width="16.54296875" customWidth="1"/>
    <col min="35" max="35" width="21.81640625" customWidth="1"/>
    <col min="36" max="36" width="15.54296875" bestFit="1" customWidth="1"/>
  </cols>
  <sheetData>
    <row r="1" spans="1:35" ht="44.15" customHeight="1" x14ac:dyDescent="0.35">
      <c r="A1" s="14"/>
      <c r="B1" s="14"/>
      <c r="C1" s="55" t="s">
        <v>9</v>
      </c>
      <c r="D1" s="55"/>
      <c r="E1" s="55"/>
      <c r="F1" s="55"/>
      <c r="G1" s="55"/>
      <c r="H1" s="56" t="s">
        <v>10</v>
      </c>
      <c r="I1" s="56"/>
      <c r="J1" s="56"/>
      <c r="K1" s="56"/>
      <c r="L1" s="56"/>
      <c r="M1" s="56"/>
      <c r="N1" s="56"/>
      <c r="O1" s="56"/>
      <c r="P1" s="15"/>
      <c r="Q1" s="15"/>
      <c r="R1" s="58" t="s">
        <v>11</v>
      </c>
      <c r="S1" s="58"/>
      <c r="T1" s="58"/>
      <c r="U1" s="58"/>
      <c r="V1" s="58"/>
      <c r="W1" s="58"/>
      <c r="X1" s="58"/>
      <c r="Y1" s="58"/>
      <c r="Z1" s="59" t="s">
        <v>12</v>
      </c>
      <c r="AA1" s="59"/>
      <c r="AB1" s="59"/>
      <c r="AC1" s="59"/>
      <c r="AD1" s="59"/>
      <c r="AE1" s="59"/>
      <c r="AF1" s="57" t="s">
        <v>13</v>
      </c>
      <c r="AG1" s="57"/>
      <c r="AH1" s="57"/>
      <c r="AI1" s="41"/>
    </row>
    <row r="2" spans="1:35" s="6" customFormat="1" hidden="1" x14ac:dyDescent="0.35">
      <c r="A2" s="16"/>
      <c r="B2" s="16"/>
      <c r="C2" s="16"/>
      <c r="D2" s="16"/>
      <c r="E2" s="16"/>
      <c r="F2" s="16"/>
      <c r="G2" s="16"/>
      <c r="H2" s="16"/>
      <c r="I2" s="16"/>
      <c r="J2" s="16"/>
      <c r="K2" s="16"/>
      <c r="L2" s="16"/>
      <c r="M2" s="16"/>
      <c r="N2" s="16"/>
      <c r="O2" s="16"/>
      <c r="P2" s="16"/>
      <c r="Q2" s="16"/>
      <c r="R2" s="16"/>
      <c r="S2" s="16"/>
      <c r="T2" s="16"/>
      <c r="U2" s="16"/>
      <c r="V2" s="16"/>
      <c r="W2" s="16"/>
      <c r="X2" s="16"/>
      <c r="Y2" s="17"/>
      <c r="Z2" s="16"/>
      <c r="AA2" s="16"/>
      <c r="AB2" s="16"/>
      <c r="AC2" s="16"/>
      <c r="AD2" s="16"/>
      <c r="AE2" s="16"/>
      <c r="AF2" s="16"/>
      <c r="AG2" s="16"/>
      <c r="AH2" s="39"/>
      <c r="AI2" s="16"/>
    </row>
    <row r="3" spans="1:35" ht="48.65" customHeight="1" x14ac:dyDescent="0.35">
      <c r="A3" s="18" t="s">
        <v>1707</v>
      </c>
      <c r="B3" s="19" t="s">
        <v>1646</v>
      </c>
      <c r="C3" s="20" t="s">
        <v>1687</v>
      </c>
      <c r="D3" s="20" t="s">
        <v>1993</v>
      </c>
      <c r="E3" s="20" t="s">
        <v>1688</v>
      </c>
      <c r="F3" s="20" t="s">
        <v>1689</v>
      </c>
      <c r="G3" s="20" t="s">
        <v>14</v>
      </c>
      <c r="H3" s="21" t="s">
        <v>1683</v>
      </c>
      <c r="I3" s="21" t="s">
        <v>15</v>
      </c>
      <c r="J3" s="21" t="s">
        <v>1684</v>
      </c>
      <c r="K3" s="21" t="s">
        <v>16</v>
      </c>
      <c r="L3" s="21" t="s">
        <v>1685</v>
      </c>
      <c r="M3" s="21" t="s">
        <v>17</v>
      </c>
      <c r="N3" s="21" t="s">
        <v>1690</v>
      </c>
      <c r="O3" s="21" t="s">
        <v>1757</v>
      </c>
      <c r="P3" s="21" t="s">
        <v>1709</v>
      </c>
      <c r="Q3" s="21" t="s">
        <v>1704</v>
      </c>
      <c r="R3" s="22" t="s">
        <v>18</v>
      </c>
      <c r="S3" s="22" t="s">
        <v>19</v>
      </c>
      <c r="T3" s="22" t="s">
        <v>20</v>
      </c>
      <c r="U3" s="22" t="s">
        <v>1686</v>
      </c>
      <c r="V3" s="22" t="s">
        <v>21</v>
      </c>
      <c r="W3" s="22" t="s">
        <v>22</v>
      </c>
      <c r="X3" s="23" t="s">
        <v>23</v>
      </c>
      <c r="Y3" s="23" t="s">
        <v>24</v>
      </c>
      <c r="Z3" s="24" t="s">
        <v>25</v>
      </c>
      <c r="AA3" s="24" t="s">
        <v>26</v>
      </c>
      <c r="AB3" s="24" t="s">
        <v>27</v>
      </c>
      <c r="AC3" s="24" t="s">
        <v>28</v>
      </c>
      <c r="AD3" s="24" t="s">
        <v>29</v>
      </c>
      <c r="AE3" s="24" t="s">
        <v>30</v>
      </c>
      <c r="AF3" s="20" t="s">
        <v>31</v>
      </c>
      <c r="AG3" s="20" t="s">
        <v>32</v>
      </c>
      <c r="AH3" s="40" t="s">
        <v>33</v>
      </c>
      <c r="AI3" s="42" t="s">
        <v>34</v>
      </c>
    </row>
    <row r="4" spans="1:35" x14ac:dyDescent="0.35">
      <c r="A4" s="25"/>
      <c r="B4" s="33"/>
      <c r="C4" s="26"/>
      <c r="D4" s="54" t="str" cm="1">
        <f t="array" ref="D4">_xlfn.XLOOKUP(Table1[[#This Row],[Organisation Name
(Select in the dropdown list)]],Table18[[#All],[Organization]],Table18[[#All],[Acronym]],"",0)</f>
        <v/>
      </c>
      <c r="E4" s="26"/>
      <c r="F4" s="26"/>
      <c r="G4" s="26"/>
      <c r="H4" s="27"/>
      <c r="I4" s="27"/>
      <c r="J4" s="27"/>
      <c r="K4" s="27"/>
      <c r="L4" s="27"/>
      <c r="M4" s="27"/>
      <c r="N4" s="27"/>
      <c r="O4" s="27"/>
      <c r="P4" s="27"/>
      <c r="Q4" s="27"/>
      <c r="R4" s="28"/>
      <c r="S4" s="28"/>
      <c r="T4" s="28"/>
      <c r="U4" s="29" t="str">
        <f>IFERROR(VLOOKUP(Table1[[#This Row],[Activity
(Select in the dropdown list)]],Tbl_ActDet[[#All],[Activity]:[Indicators]],2,FALSE),"")</f>
        <v/>
      </c>
      <c r="V4" s="37" t="str" cm="1">
        <f t="array" ref="V4">IFERROR(INDEX(Tbl_ActDet[Units],MATCH(Table1[[#This Row],[WASH Domain
(Select in the dropdown list)]]&amp;Table1[[#This Row],[Activity
(Select in the dropdown list)]]&amp;Table1[[#This Row],[Indicators
(automatically filled)]],Tbl_ActDet[Domain]&amp;Tbl_ActDet[Activity]&amp;Tbl_ActDet[Indicators],0)),"")</f>
        <v/>
      </c>
      <c r="W4" s="37"/>
      <c r="X4" s="30"/>
      <c r="Y4" s="30"/>
      <c r="Z4" s="31"/>
      <c r="AA4" s="32"/>
      <c r="AB4" s="32"/>
      <c r="AC4" s="32"/>
      <c r="AD4" s="32"/>
      <c r="AE4" s="38">
        <f>SUM(Table1[[#This Row],['#Beneficiary
Boys]:['#Beneficiary
Women]])</f>
        <v>0</v>
      </c>
      <c r="AF4" s="44"/>
      <c r="AG4" s="44"/>
      <c r="AH4" s="45"/>
      <c r="AI4" s="43"/>
    </row>
    <row r="5" spans="1:35" x14ac:dyDescent="0.35">
      <c r="A5" s="25"/>
      <c r="B5" s="33"/>
      <c r="C5" s="26"/>
      <c r="D5" s="54"/>
      <c r="E5" s="26"/>
      <c r="F5" s="26"/>
      <c r="G5" s="26"/>
      <c r="H5" s="27"/>
      <c r="I5" s="27"/>
      <c r="J5" s="27"/>
      <c r="K5" s="27"/>
      <c r="L5" s="27"/>
      <c r="M5" s="27"/>
      <c r="N5" s="27"/>
      <c r="O5" s="27"/>
      <c r="P5" s="27"/>
      <c r="Q5" s="27"/>
      <c r="R5" s="28"/>
      <c r="S5" s="28"/>
      <c r="T5" s="28"/>
      <c r="U5" s="29" t="str">
        <f>IFERROR(VLOOKUP(Table1[[#This Row],[Activity
(Select in the dropdown list)]],Tbl_ActDet[[#All],[Activity]:[Indicators]],2,FALSE),"")</f>
        <v/>
      </c>
      <c r="V5" s="37" t="str" cm="1">
        <f t="array" ref="V5">IFERROR(INDEX(Tbl_ActDet[Units],MATCH(Table1[[#This Row],[WASH Domain
(Select in the dropdown list)]]&amp;Table1[[#This Row],[Activity
(Select in the dropdown list)]]&amp;Table1[[#This Row],[Indicators
(automatically filled)]],Tbl_ActDet[Domain]&amp;Tbl_ActDet[Activity]&amp;Tbl_ActDet[Indicators],0)),"")</f>
        <v/>
      </c>
      <c r="W5" s="37"/>
      <c r="X5" s="30"/>
      <c r="Y5" s="30"/>
      <c r="Z5" s="31"/>
      <c r="AA5" s="32"/>
      <c r="AB5" s="32"/>
      <c r="AC5" s="32"/>
      <c r="AD5" s="32"/>
      <c r="AE5" s="38">
        <f>SUM(Table1[[#This Row],['#Beneficiary
Boys]:['#Beneficiary
Women]])</f>
        <v>0</v>
      </c>
      <c r="AF5" s="44"/>
      <c r="AG5" s="44"/>
      <c r="AH5" s="45"/>
      <c r="AI5" s="43"/>
    </row>
    <row r="6" spans="1:35" x14ac:dyDescent="0.35">
      <c r="A6" s="25"/>
      <c r="B6" s="33"/>
      <c r="C6" s="26" t="s">
        <v>1749</v>
      </c>
      <c r="D6" s="54" t="str" cm="1">
        <f t="array" ref="D6">_xlfn.XLOOKUP(Table1[[#This Row],[Organisation Name
(Select in the dropdown list)]],Table18[[#All],[Organization]],Table18[[#All],[Acronym]],"",0)</f>
        <v/>
      </c>
      <c r="E6" s="26"/>
      <c r="F6" s="26"/>
      <c r="G6" s="26"/>
      <c r="H6" s="27"/>
      <c r="I6" s="27"/>
      <c r="J6" s="27"/>
      <c r="K6" s="27"/>
      <c r="L6" s="27"/>
      <c r="M6" s="27"/>
      <c r="N6" s="27"/>
      <c r="O6" s="27"/>
      <c r="P6" s="27"/>
      <c r="Q6" s="27"/>
      <c r="R6" s="28"/>
      <c r="S6" s="28"/>
      <c r="T6" s="28"/>
      <c r="U6" s="29" t="str">
        <f>IFERROR(VLOOKUP(Table1[[#This Row],[Activity
(Select in the dropdown list)]],Tbl_ActDet[[#All],[Activity]:[Indicators]],2,FALSE),"")</f>
        <v/>
      </c>
      <c r="V6" s="37" t="str" cm="1">
        <f t="array" ref="V6">IFERROR(INDEX(Tbl_ActDet[Units],MATCH(Table1[[#This Row],[WASH Domain
(Select in the dropdown list)]]&amp;Table1[[#This Row],[Activity
(Select in the dropdown list)]]&amp;Table1[[#This Row],[Indicators
(automatically filled)]],Tbl_ActDet[Domain]&amp;Tbl_ActDet[Activity]&amp;Tbl_ActDet[Indicators],0)),"")</f>
        <v/>
      </c>
      <c r="W6" s="37"/>
      <c r="X6" s="30"/>
      <c r="Y6" s="30"/>
      <c r="Z6" s="31"/>
      <c r="AA6" s="32"/>
      <c r="AB6" s="32"/>
      <c r="AC6" s="32"/>
      <c r="AD6" s="32"/>
      <c r="AE6" s="38">
        <f>SUM(Table1[[#This Row],['#Beneficiary
Boys]:['#Beneficiary
Women]])</f>
        <v>0</v>
      </c>
      <c r="AF6" s="44"/>
      <c r="AG6" s="44"/>
      <c r="AH6" s="45"/>
      <c r="AI6" s="43"/>
    </row>
    <row r="7" spans="1:35" x14ac:dyDescent="0.35">
      <c r="A7" s="25"/>
      <c r="B7" s="33"/>
      <c r="C7" s="26" t="s">
        <v>1749</v>
      </c>
      <c r="D7" s="54" t="str" cm="1">
        <f t="array" ref="D7">_xlfn.XLOOKUP(Table1[[#This Row],[Organisation Name
(Select in the dropdown list)]],Table18[[#All],[Organization]],Table18[[#All],[Acronym]],"",0)</f>
        <v/>
      </c>
      <c r="E7" s="26"/>
      <c r="F7" s="26"/>
      <c r="G7" s="26"/>
      <c r="H7" s="27"/>
      <c r="I7" s="27"/>
      <c r="J7" s="27"/>
      <c r="K7" s="27"/>
      <c r="L7" s="27"/>
      <c r="M7" s="27"/>
      <c r="N7" s="27"/>
      <c r="O7" s="27"/>
      <c r="P7" s="27"/>
      <c r="Q7" s="27"/>
      <c r="R7" s="28"/>
      <c r="S7" s="28"/>
      <c r="T7" s="28"/>
      <c r="U7" s="29" t="str">
        <f>IFERROR(VLOOKUP(Table1[[#This Row],[Activity
(Select in the dropdown list)]],Tbl_ActDet[[#All],[Activity]:[Indicators]],2,FALSE),"")</f>
        <v/>
      </c>
      <c r="V7" s="37" t="str" cm="1">
        <f t="array" ref="V7">IFERROR(INDEX(Tbl_ActDet[Units],MATCH(Table1[[#This Row],[WASH Domain
(Select in the dropdown list)]]&amp;Table1[[#This Row],[Activity
(Select in the dropdown list)]]&amp;Table1[[#This Row],[Indicators
(automatically filled)]],Tbl_ActDet[Domain]&amp;Tbl_ActDet[Activity]&amp;Tbl_ActDet[Indicators],0)),"")</f>
        <v/>
      </c>
      <c r="W7" s="37"/>
      <c r="X7" s="30"/>
      <c r="Y7" s="30"/>
      <c r="Z7" s="31"/>
      <c r="AA7" s="32"/>
      <c r="AB7" s="32"/>
      <c r="AC7" s="32"/>
      <c r="AD7" s="32"/>
      <c r="AE7" s="38">
        <f>SUM(Table1[[#This Row],['#Beneficiary
Boys]:['#Beneficiary
Women]])</f>
        <v>0</v>
      </c>
      <c r="AF7" s="44"/>
      <c r="AG7" s="44"/>
      <c r="AH7" s="45"/>
      <c r="AI7" s="43"/>
    </row>
    <row r="8" spans="1:35" x14ac:dyDescent="0.35">
      <c r="A8" s="25"/>
      <c r="B8" s="33"/>
      <c r="C8" s="26" t="s">
        <v>1749</v>
      </c>
      <c r="D8" s="54" t="str" cm="1">
        <f t="array" ref="D8">_xlfn.XLOOKUP(Table1[[#This Row],[Organisation Name
(Select in the dropdown list)]],Table18[[#All],[Organization]],Table18[[#All],[Acronym]],"",0)</f>
        <v/>
      </c>
      <c r="E8" s="26"/>
      <c r="F8" s="26"/>
      <c r="G8" s="26"/>
      <c r="H8" s="27"/>
      <c r="I8" s="27"/>
      <c r="J8" s="27"/>
      <c r="K8" s="27"/>
      <c r="L8" s="27"/>
      <c r="M8" s="27"/>
      <c r="N8" s="27"/>
      <c r="O8" s="27"/>
      <c r="P8" s="27"/>
      <c r="Q8" s="27"/>
      <c r="R8" s="28"/>
      <c r="S8" s="28"/>
      <c r="T8" s="28"/>
      <c r="U8" s="29" t="str">
        <f>IFERROR(VLOOKUP(Table1[[#This Row],[Activity
(Select in the dropdown list)]],Tbl_ActDet[[#All],[Activity]:[Indicators]],2,FALSE),"")</f>
        <v/>
      </c>
      <c r="V8" s="37" t="str" cm="1">
        <f t="array" ref="V8">IFERROR(INDEX(Tbl_ActDet[Units],MATCH(Table1[[#This Row],[WASH Domain
(Select in the dropdown list)]]&amp;Table1[[#This Row],[Activity
(Select in the dropdown list)]]&amp;Table1[[#This Row],[Indicators
(automatically filled)]],Tbl_ActDet[Domain]&amp;Tbl_ActDet[Activity]&amp;Tbl_ActDet[Indicators],0)),"")</f>
        <v/>
      </c>
      <c r="W8" s="37"/>
      <c r="X8" s="30"/>
      <c r="Y8" s="30"/>
      <c r="Z8" s="31"/>
      <c r="AA8" s="32"/>
      <c r="AB8" s="32"/>
      <c r="AC8" s="32"/>
      <c r="AD8" s="32"/>
      <c r="AE8" s="38">
        <f>SUM(Table1[[#This Row],['#Beneficiary
Boys]:['#Beneficiary
Women]])</f>
        <v>0</v>
      </c>
      <c r="AF8" s="44"/>
      <c r="AG8" s="44"/>
      <c r="AH8" s="45"/>
      <c r="AI8" s="43"/>
    </row>
    <row r="9" spans="1:35" x14ac:dyDescent="0.35">
      <c r="A9" s="25"/>
      <c r="B9" s="33"/>
      <c r="C9" s="26" t="s">
        <v>1749</v>
      </c>
      <c r="D9" s="54" t="str" cm="1">
        <f t="array" ref="D9">_xlfn.XLOOKUP(Table1[[#This Row],[Organisation Name
(Select in the dropdown list)]],Table18[[#All],[Organization]],Table18[[#All],[Acronym]],"",0)</f>
        <v/>
      </c>
      <c r="E9" s="26"/>
      <c r="F9" s="26"/>
      <c r="G9" s="26"/>
      <c r="H9" s="27"/>
      <c r="I9" s="27"/>
      <c r="J9" s="27"/>
      <c r="K9" s="27"/>
      <c r="L9" s="27"/>
      <c r="M9" s="27"/>
      <c r="N9" s="27"/>
      <c r="O9" s="27"/>
      <c r="P9" s="27"/>
      <c r="Q9" s="27"/>
      <c r="R9" s="28"/>
      <c r="S9" s="28"/>
      <c r="T9" s="28"/>
      <c r="U9" s="29" t="str">
        <f>IFERROR(VLOOKUP(Table1[[#This Row],[Activity
(Select in the dropdown list)]],Tbl_ActDet[[#All],[Activity]:[Indicators]],2,FALSE),"")</f>
        <v/>
      </c>
      <c r="V9" s="37" t="str" cm="1">
        <f t="array" ref="V9">IFERROR(INDEX(Tbl_ActDet[Units],MATCH(Table1[[#This Row],[WASH Domain
(Select in the dropdown list)]]&amp;Table1[[#This Row],[Activity
(Select in the dropdown list)]]&amp;Table1[[#This Row],[Indicators
(automatically filled)]],Tbl_ActDet[Domain]&amp;Tbl_ActDet[Activity]&amp;Tbl_ActDet[Indicators],0)),"")</f>
        <v/>
      </c>
      <c r="W9" s="37"/>
      <c r="X9" s="30"/>
      <c r="Y9" s="30"/>
      <c r="Z9" s="31"/>
      <c r="AA9" s="32"/>
      <c r="AB9" s="32"/>
      <c r="AC9" s="32"/>
      <c r="AD9" s="32"/>
      <c r="AE9" s="38">
        <f>SUM(Table1[[#This Row],['#Beneficiary
Boys]:['#Beneficiary
Women]])</f>
        <v>0</v>
      </c>
      <c r="AF9" s="44"/>
      <c r="AG9" s="44"/>
      <c r="AH9" s="45"/>
      <c r="AI9" s="43"/>
    </row>
    <row r="10" spans="1:35" x14ac:dyDescent="0.35">
      <c r="A10" s="25"/>
      <c r="B10" s="33"/>
      <c r="C10" s="26" t="s">
        <v>1749</v>
      </c>
      <c r="D10" s="54" t="str" cm="1">
        <f t="array" ref="D10">_xlfn.XLOOKUP(Table1[[#This Row],[Organisation Name
(Select in the dropdown list)]],Table18[[#All],[Organization]],Table18[[#All],[Acronym]],"",0)</f>
        <v/>
      </c>
      <c r="E10" s="26"/>
      <c r="F10" s="26"/>
      <c r="G10" s="26"/>
      <c r="H10" s="27"/>
      <c r="I10" s="27"/>
      <c r="J10" s="27"/>
      <c r="K10" s="27"/>
      <c r="L10" s="27"/>
      <c r="M10" s="27"/>
      <c r="N10" s="27"/>
      <c r="O10" s="27"/>
      <c r="P10" s="27"/>
      <c r="Q10" s="27"/>
      <c r="R10" s="28"/>
      <c r="S10" s="28"/>
      <c r="T10" s="28"/>
      <c r="U10" s="29" t="str">
        <f>IFERROR(VLOOKUP(Table1[[#This Row],[Activity
(Select in the dropdown list)]],Tbl_ActDet[[#All],[Activity]:[Indicators]],2,FALSE),"")</f>
        <v/>
      </c>
      <c r="V10" s="37" t="str" cm="1">
        <f t="array" ref="V10">IFERROR(INDEX(Tbl_ActDet[Units],MATCH(Table1[[#This Row],[WASH Domain
(Select in the dropdown list)]]&amp;Table1[[#This Row],[Activity
(Select in the dropdown list)]]&amp;Table1[[#This Row],[Indicators
(automatically filled)]],Tbl_ActDet[Domain]&amp;Tbl_ActDet[Activity]&amp;Tbl_ActDet[Indicators],0)),"")</f>
        <v/>
      </c>
      <c r="W10" s="37"/>
      <c r="X10" s="30"/>
      <c r="Y10" s="30"/>
      <c r="Z10" s="31"/>
      <c r="AA10" s="32"/>
      <c r="AB10" s="32"/>
      <c r="AC10" s="32"/>
      <c r="AD10" s="32"/>
      <c r="AE10" s="38">
        <f>SUM(Table1[[#This Row],['#Beneficiary
Boys]:['#Beneficiary
Women]])</f>
        <v>0</v>
      </c>
      <c r="AF10" s="44"/>
      <c r="AG10" s="44"/>
      <c r="AH10" s="45"/>
      <c r="AI10" s="43"/>
    </row>
    <row r="11" spans="1:35" x14ac:dyDescent="0.35">
      <c r="A11" s="25"/>
      <c r="B11" s="33"/>
      <c r="C11" s="26" t="s">
        <v>1749</v>
      </c>
      <c r="D11" s="54" t="str" cm="1">
        <f t="array" ref="D11">_xlfn.XLOOKUP(Table1[[#This Row],[Organisation Name
(Select in the dropdown list)]],Table18[[#All],[Organization]],Table18[[#All],[Acronym]],"",0)</f>
        <v/>
      </c>
      <c r="E11" s="26"/>
      <c r="F11" s="26"/>
      <c r="G11" s="26"/>
      <c r="H11" s="27"/>
      <c r="I11" s="27"/>
      <c r="J11" s="27"/>
      <c r="K11" s="27"/>
      <c r="L11" s="27"/>
      <c r="M11" s="27"/>
      <c r="N11" s="27"/>
      <c r="O11" s="27"/>
      <c r="P11" s="27"/>
      <c r="Q11" s="27"/>
      <c r="R11" s="28"/>
      <c r="S11" s="28"/>
      <c r="T11" s="28"/>
      <c r="U11" s="29" t="str">
        <f>IFERROR(VLOOKUP(Table1[[#This Row],[Activity
(Select in the dropdown list)]],Tbl_ActDet[[#All],[Activity]:[Indicators]],2,FALSE),"")</f>
        <v/>
      </c>
      <c r="V11" s="37" t="str" cm="1">
        <f t="array" ref="V11">IFERROR(INDEX(Tbl_ActDet[Units],MATCH(Table1[[#This Row],[WASH Domain
(Select in the dropdown list)]]&amp;Table1[[#This Row],[Activity
(Select in the dropdown list)]]&amp;Table1[[#This Row],[Indicators
(automatically filled)]],Tbl_ActDet[Domain]&amp;Tbl_ActDet[Activity]&amp;Tbl_ActDet[Indicators],0)),"")</f>
        <v/>
      </c>
      <c r="W11" s="37"/>
      <c r="X11" s="30"/>
      <c r="Y11" s="30"/>
      <c r="Z11" s="31"/>
      <c r="AA11" s="32"/>
      <c r="AB11" s="32"/>
      <c r="AC11" s="32"/>
      <c r="AD11" s="32"/>
      <c r="AE11" s="38">
        <f>SUM(Table1[[#This Row],['#Beneficiary
Boys]:['#Beneficiary
Women]])</f>
        <v>0</v>
      </c>
      <c r="AF11" s="44"/>
      <c r="AG11" s="44"/>
      <c r="AH11" s="45"/>
      <c r="AI11" s="43"/>
    </row>
    <row r="12" spans="1:35" x14ac:dyDescent="0.35">
      <c r="A12" s="25"/>
      <c r="B12" s="33"/>
      <c r="C12" s="26" t="s">
        <v>1749</v>
      </c>
      <c r="D12" s="54" t="str" cm="1">
        <f t="array" ref="D12">_xlfn.XLOOKUP(Table1[[#This Row],[Organisation Name
(Select in the dropdown list)]],Table18[[#All],[Organization]],Table18[[#All],[Acronym]],"",0)</f>
        <v/>
      </c>
      <c r="E12" s="26"/>
      <c r="F12" s="26"/>
      <c r="G12" s="26"/>
      <c r="H12" s="27"/>
      <c r="I12" s="27"/>
      <c r="J12" s="27"/>
      <c r="K12" s="27"/>
      <c r="L12" s="27"/>
      <c r="M12" s="27"/>
      <c r="N12" s="27"/>
      <c r="O12" s="27"/>
      <c r="P12" s="27"/>
      <c r="Q12" s="27"/>
      <c r="R12" s="28"/>
      <c r="S12" s="28"/>
      <c r="T12" s="28"/>
      <c r="U12" s="29" t="str">
        <f>IFERROR(VLOOKUP(Table1[[#This Row],[Activity
(Select in the dropdown list)]],Tbl_ActDet[[#All],[Activity]:[Indicators]],2,FALSE),"")</f>
        <v/>
      </c>
      <c r="V12" s="37" t="str" cm="1">
        <f t="array" ref="V12">IFERROR(INDEX(Tbl_ActDet[Units],MATCH(Table1[[#This Row],[WASH Domain
(Select in the dropdown list)]]&amp;Table1[[#This Row],[Activity
(Select in the dropdown list)]]&amp;Table1[[#This Row],[Indicators
(automatically filled)]],Tbl_ActDet[Domain]&amp;Tbl_ActDet[Activity]&amp;Tbl_ActDet[Indicators],0)),"")</f>
        <v/>
      </c>
      <c r="W12" s="37"/>
      <c r="X12" s="30"/>
      <c r="Y12" s="30"/>
      <c r="Z12" s="31"/>
      <c r="AA12" s="32"/>
      <c r="AB12" s="32"/>
      <c r="AC12" s="32"/>
      <c r="AD12" s="32"/>
      <c r="AE12" s="38">
        <f>SUM(Table1[[#This Row],['#Beneficiary
Boys]:['#Beneficiary
Women]])</f>
        <v>0</v>
      </c>
      <c r="AF12" s="44"/>
      <c r="AG12" s="44"/>
      <c r="AH12" s="45"/>
      <c r="AI12" s="43"/>
    </row>
    <row r="13" spans="1:35" x14ac:dyDescent="0.35">
      <c r="A13" s="25"/>
      <c r="B13" s="33"/>
      <c r="C13" s="26" t="s">
        <v>1749</v>
      </c>
      <c r="D13" s="54" t="str" cm="1">
        <f t="array" ref="D13">_xlfn.XLOOKUP(Table1[[#This Row],[Organisation Name
(Select in the dropdown list)]],Table18[[#All],[Organization]],Table18[[#All],[Acronym]],"",0)</f>
        <v/>
      </c>
      <c r="E13" s="26"/>
      <c r="F13" s="26"/>
      <c r="G13" s="26"/>
      <c r="H13" s="27"/>
      <c r="I13" s="27"/>
      <c r="J13" s="27"/>
      <c r="K13" s="27"/>
      <c r="L13" s="27"/>
      <c r="M13" s="27"/>
      <c r="N13" s="27"/>
      <c r="O13" s="27"/>
      <c r="P13" s="27"/>
      <c r="Q13" s="27"/>
      <c r="R13" s="28"/>
      <c r="S13" s="28"/>
      <c r="T13" s="28"/>
      <c r="U13" s="29" t="str">
        <f>IFERROR(VLOOKUP(Table1[[#This Row],[Activity
(Select in the dropdown list)]],Tbl_ActDet[[#All],[Activity]:[Indicators]],2,FALSE),"")</f>
        <v/>
      </c>
      <c r="V13" s="37" t="str" cm="1">
        <f t="array" ref="V13">IFERROR(INDEX(Tbl_ActDet[Units],MATCH(Table1[[#This Row],[WASH Domain
(Select in the dropdown list)]]&amp;Table1[[#This Row],[Activity
(Select in the dropdown list)]]&amp;Table1[[#This Row],[Indicators
(automatically filled)]],Tbl_ActDet[Domain]&amp;Tbl_ActDet[Activity]&amp;Tbl_ActDet[Indicators],0)),"")</f>
        <v/>
      </c>
      <c r="W13" s="37"/>
      <c r="X13" s="30"/>
      <c r="Y13" s="30"/>
      <c r="Z13" s="31"/>
      <c r="AA13" s="32"/>
      <c r="AB13" s="32"/>
      <c r="AC13" s="32"/>
      <c r="AD13" s="32"/>
      <c r="AE13" s="38">
        <f>SUM(Table1[[#This Row],['#Beneficiary
Boys]:['#Beneficiary
Women]])</f>
        <v>0</v>
      </c>
      <c r="AF13" s="44"/>
      <c r="AG13" s="44"/>
      <c r="AH13" s="45"/>
      <c r="AI13" s="43"/>
    </row>
    <row r="14" spans="1:35" x14ac:dyDescent="0.35">
      <c r="A14" s="25"/>
      <c r="B14" s="33"/>
      <c r="C14" s="26" t="s">
        <v>1749</v>
      </c>
      <c r="D14" s="54" t="str" cm="1">
        <f t="array" ref="D14">_xlfn.XLOOKUP(Table1[[#This Row],[Organisation Name
(Select in the dropdown list)]],Table18[[#All],[Organization]],Table18[[#All],[Acronym]],"",0)</f>
        <v/>
      </c>
      <c r="E14" s="26"/>
      <c r="F14" s="26"/>
      <c r="G14" s="26"/>
      <c r="H14" s="27"/>
      <c r="I14" s="27"/>
      <c r="J14" s="27"/>
      <c r="K14" s="27"/>
      <c r="L14" s="27"/>
      <c r="M14" s="27"/>
      <c r="N14" s="27"/>
      <c r="O14" s="27"/>
      <c r="P14" s="27"/>
      <c r="Q14" s="27"/>
      <c r="R14" s="28"/>
      <c r="S14" s="28"/>
      <c r="T14" s="28"/>
      <c r="U14" s="29" t="str">
        <f>IFERROR(VLOOKUP(Table1[[#This Row],[Activity
(Select in the dropdown list)]],Tbl_ActDet[[#All],[Activity]:[Indicators]],2,FALSE),"")</f>
        <v/>
      </c>
      <c r="V14" s="37" t="str" cm="1">
        <f t="array" ref="V14">IFERROR(INDEX(Tbl_ActDet[Units],MATCH(Table1[[#This Row],[WASH Domain
(Select in the dropdown list)]]&amp;Table1[[#This Row],[Activity
(Select in the dropdown list)]]&amp;Table1[[#This Row],[Indicators
(automatically filled)]],Tbl_ActDet[Domain]&amp;Tbl_ActDet[Activity]&amp;Tbl_ActDet[Indicators],0)),"")</f>
        <v/>
      </c>
      <c r="W14" s="37"/>
      <c r="X14" s="30"/>
      <c r="Y14" s="30"/>
      <c r="Z14" s="31"/>
      <c r="AA14" s="32"/>
      <c r="AB14" s="32"/>
      <c r="AC14" s="32"/>
      <c r="AD14" s="32"/>
      <c r="AE14" s="38">
        <f>SUM(Table1[[#This Row],['#Beneficiary
Boys]:['#Beneficiary
Women]])</f>
        <v>0</v>
      </c>
      <c r="AF14" s="44"/>
      <c r="AG14" s="44"/>
      <c r="AH14" s="45"/>
      <c r="AI14" s="43"/>
    </row>
    <row r="15" spans="1:35" x14ac:dyDescent="0.35">
      <c r="A15" s="25"/>
      <c r="B15" s="33"/>
      <c r="C15" s="26" t="s">
        <v>1749</v>
      </c>
      <c r="D15" s="54" t="str" cm="1">
        <f t="array" ref="D15">_xlfn.XLOOKUP(Table1[[#This Row],[Organisation Name
(Select in the dropdown list)]],Table18[[#All],[Organization]],Table18[[#All],[Acronym]],"",0)</f>
        <v/>
      </c>
      <c r="E15" s="26"/>
      <c r="F15" s="26"/>
      <c r="G15" s="26"/>
      <c r="H15" s="27"/>
      <c r="I15" s="27"/>
      <c r="J15" s="27"/>
      <c r="K15" s="27"/>
      <c r="L15" s="27"/>
      <c r="M15" s="27"/>
      <c r="N15" s="27"/>
      <c r="O15" s="27"/>
      <c r="P15" s="27"/>
      <c r="Q15" s="27"/>
      <c r="R15" s="28"/>
      <c r="S15" s="28"/>
      <c r="T15" s="28"/>
      <c r="U15" s="29" t="str">
        <f>IFERROR(VLOOKUP(Table1[[#This Row],[Activity
(Select in the dropdown list)]],Tbl_ActDet[[#All],[Activity]:[Indicators]],2,FALSE),"")</f>
        <v/>
      </c>
      <c r="V15" s="37" t="str" cm="1">
        <f t="array" ref="V15">IFERROR(INDEX(Tbl_ActDet[Units],MATCH(Table1[[#This Row],[WASH Domain
(Select in the dropdown list)]]&amp;Table1[[#This Row],[Activity
(Select in the dropdown list)]]&amp;Table1[[#This Row],[Indicators
(automatically filled)]],Tbl_ActDet[Domain]&amp;Tbl_ActDet[Activity]&amp;Tbl_ActDet[Indicators],0)),"")</f>
        <v/>
      </c>
      <c r="W15" s="37"/>
      <c r="X15" s="30"/>
      <c r="Y15" s="30"/>
      <c r="Z15" s="31"/>
      <c r="AA15" s="32"/>
      <c r="AB15" s="32"/>
      <c r="AC15" s="32"/>
      <c r="AD15" s="32"/>
      <c r="AE15" s="38">
        <f>SUM(Table1[[#This Row],['#Beneficiary
Boys]:['#Beneficiary
Women]])</f>
        <v>0</v>
      </c>
      <c r="AF15" s="44"/>
      <c r="AG15" s="44"/>
      <c r="AH15" s="45"/>
      <c r="AI15" s="43"/>
    </row>
    <row r="16" spans="1:35" x14ac:dyDescent="0.35">
      <c r="A16" s="25"/>
      <c r="B16" s="33"/>
      <c r="C16" s="26" t="s">
        <v>1749</v>
      </c>
      <c r="D16" s="54" t="str" cm="1">
        <f t="array" ref="D16">_xlfn.XLOOKUP(Table1[[#This Row],[Organisation Name
(Select in the dropdown list)]],Table18[[#All],[Organization]],Table18[[#All],[Acronym]],"",0)</f>
        <v/>
      </c>
      <c r="E16" s="26"/>
      <c r="F16" s="26"/>
      <c r="G16" s="26"/>
      <c r="H16" s="27"/>
      <c r="I16" s="27"/>
      <c r="J16" s="27"/>
      <c r="K16" s="27"/>
      <c r="L16" s="27"/>
      <c r="M16" s="27"/>
      <c r="N16" s="27"/>
      <c r="O16" s="27"/>
      <c r="P16" s="27"/>
      <c r="Q16" s="27"/>
      <c r="R16" s="28"/>
      <c r="S16" s="28"/>
      <c r="T16" s="28"/>
      <c r="U16" s="29" t="str">
        <f>IFERROR(VLOOKUP(Table1[[#This Row],[Activity
(Select in the dropdown list)]],Tbl_ActDet[[#All],[Activity]:[Indicators]],2,FALSE),"")</f>
        <v/>
      </c>
      <c r="V16" s="37" t="str" cm="1">
        <f t="array" ref="V16">IFERROR(INDEX(Tbl_ActDet[Units],MATCH(Table1[[#This Row],[WASH Domain
(Select in the dropdown list)]]&amp;Table1[[#This Row],[Activity
(Select in the dropdown list)]]&amp;Table1[[#This Row],[Indicators
(automatically filled)]],Tbl_ActDet[Domain]&amp;Tbl_ActDet[Activity]&amp;Tbl_ActDet[Indicators],0)),"")</f>
        <v/>
      </c>
      <c r="W16" s="37"/>
      <c r="X16" s="30"/>
      <c r="Y16" s="30"/>
      <c r="Z16" s="31"/>
      <c r="AA16" s="32"/>
      <c r="AB16" s="32"/>
      <c r="AC16" s="32"/>
      <c r="AD16" s="32"/>
      <c r="AE16" s="38">
        <f>SUM(Table1[[#This Row],['#Beneficiary
Boys]:['#Beneficiary
Women]])</f>
        <v>0</v>
      </c>
      <c r="AF16" s="44"/>
      <c r="AG16" s="44"/>
      <c r="AH16" s="45"/>
      <c r="AI16" s="43"/>
    </row>
    <row r="17" spans="1:35" x14ac:dyDescent="0.35">
      <c r="A17" s="25"/>
      <c r="B17" s="33"/>
      <c r="C17" s="26" t="s">
        <v>1749</v>
      </c>
      <c r="D17" s="54" t="str" cm="1">
        <f t="array" ref="D17">_xlfn.XLOOKUP(Table1[[#This Row],[Organisation Name
(Select in the dropdown list)]],Table18[[#All],[Organization]],Table18[[#All],[Acronym]],"",0)</f>
        <v/>
      </c>
      <c r="E17" s="26"/>
      <c r="F17" s="26"/>
      <c r="G17" s="26"/>
      <c r="H17" s="27"/>
      <c r="I17" s="27"/>
      <c r="J17" s="27"/>
      <c r="K17" s="27"/>
      <c r="L17" s="27"/>
      <c r="M17" s="27"/>
      <c r="N17" s="27"/>
      <c r="O17" s="27"/>
      <c r="P17" s="27"/>
      <c r="Q17" s="27"/>
      <c r="R17" s="28"/>
      <c r="S17" s="28"/>
      <c r="T17" s="28"/>
      <c r="U17" s="29" t="str">
        <f>IFERROR(VLOOKUP(Table1[[#This Row],[Activity
(Select in the dropdown list)]],Tbl_ActDet[[#All],[Activity]:[Indicators]],2,FALSE),"")</f>
        <v/>
      </c>
      <c r="V17" s="37" t="str" cm="1">
        <f t="array" ref="V17">IFERROR(INDEX(Tbl_ActDet[Units],MATCH(Table1[[#This Row],[WASH Domain
(Select in the dropdown list)]]&amp;Table1[[#This Row],[Activity
(Select in the dropdown list)]]&amp;Table1[[#This Row],[Indicators
(automatically filled)]],Tbl_ActDet[Domain]&amp;Tbl_ActDet[Activity]&amp;Tbl_ActDet[Indicators],0)),"")</f>
        <v/>
      </c>
      <c r="W17" s="37"/>
      <c r="X17" s="30"/>
      <c r="Y17" s="30"/>
      <c r="Z17" s="31"/>
      <c r="AA17" s="32"/>
      <c r="AB17" s="32"/>
      <c r="AC17" s="32"/>
      <c r="AD17" s="32"/>
      <c r="AE17" s="38">
        <f>SUM(Table1[[#This Row],['#Beneficiary
Boys]:['#Beneficiary
Women]])</f>
        <v>0</v>
      </c>
      <c r="AF17" s="44"/>
      <c r="AG17" s="44"/>
      <c r="AH17" s="45"/>
      <c r="AI17" s="43"/>
    </row>
    <row r="18" spans="1:35" x14ac:dyDescent="0.35">
      <c r="A18" s="25"/>
      <c r="B18" s="33"/>
      <c r="C18" s="26" t="s">
        <v>1749</v>
      </c>
      <c r="D18" s="54" t="str" cm="1">
        <f t="array" ref="D18">_xlfn.XLOOKUP(Table1[[#This Row],[Organisation Name
(Select in the dropdown list)]],Table18[[#All],[Organization]],Table18[[#All],[Acronym]],"",0)</f>
        <v/>
      </c>
      <c r="E18" s="26"/>
      <c r="F18" s="26"/>
      <c r="G18" s="26"/>
      <c r="H18" s="27"/>
      <c r="I18" s="27"/>
      <c r="J18" s="27"/>
      <c r="K18" s="27"/>
      <c r="L18" s="27"/>
      <c r="M18" s="27"/>
      <c r="N18" s="27"/>
      <c r="O18" s="27"/>
      <c r="P18" s="27"/>
      <c r="Q18" s="27"/>
      <c r="R18" s="28"/>
      <c r="S18" s="28"/>
      <c r="T18" s="28"/>
      <c r="U18" s="29" t="str">
        <f>IFERROR(VLOOKUP(Table1[[#This Row],[Activity
(Select in the dropdown list)]],Tbl_ActDet[[#All],[Activity]:[Indicators]],2,FALSE),"")</f>
        <v/>
      </c>
      <c r="V18" s="37" t="str" cm="1">
        <f t="array" ref="V18">IFERROR(INDEX(Tbl_ActDet[Units],MATCH(Table1[[#This Row],[WASH Domain
(Select in the dropdown list)]]&amp;Table1[[#This Row],[Activity
(Select in the dropdown list)]]&amp;Table1[[#This Row],[Indicators
(automatically filled)]],Tbl_ActDet[Domain]&amp;Tbl_ActDet[Activity]&amp;Tbl_ActDet[Indicators],0)),"")</f>
        <v/>
      </c>
      <c r="W18" s="37"/>
      <c r="X18" s="30"/>
      <c r="Y18" s="30"/>
      <c r="Z18" s="31"/>
      <c r="AA18" s="32"/>
      <c r="AB18" s="32"/>
      <c r="AC18" s="32"/>
      <c r="AD18" s="32"/>
      <c r="AE18" s="38">
        <f>SUM(Table1[[#This Row],['#Beneficiary
Boys]:['#Beneficiary
Women]])</f>
        <v>0</v>
      </c>
      <c r="AF18" s="44"/>
      <c r="AG18" s="44"/>
      <c r="AH18" s="45"/>
      <c r="AI18" s="43"/>
    </row>
    <row r="19" spans="1:35" x14ac:dyDescent="0.35">
      <c r="A19" s="25"/>
      <c r="B19" s="33"/>
      <c r="C19" s="26" t="s">
        <v>1749</v>
      </c>
      <c r="D19" s="54" t="str" cm="1">
        <f t="array" ref="D19">_xlfn.XLOOKUP(Table1[[#This Row],[Organisation Name
(Select in the dropdown list)]],Table18[[#All],[Organization]],Table18[[#All],[Acronym]],"",0)</f>
        <v/>
      </c>
      <c r="E19" s="26"/>
      <c r="F19" s="26"/>
      <c r="G19" s="26"/>
      <c r="H19" s="27"/>
      <c r="I19" s="27"/>
      <c r="J19" s="27"/>
      <c r="K19" s="27"/>
      <c r="L19" s="27"/>
      <c r="M19" s="27"/>
      <c r="N19" s="27"/>
      <c r="O19" s="27"/>
      <c r="P19" s="27"/>
      <c r="Q19" s="27"/>
      <c r="R19" s="28"/>
      <c r="S19" s="28"/>
      <c r="T19" s="28"/>
      <c r="U19" s="29" t="str">
        <f>IFERROR(VLOOKUP(Table1[[#This Row],[Activity
(Select in the dropdown list)]],Tbl_ActDet[[#All],[Activity]:[Indicators]],2,FALSE),"")</f>
        <v/>
      </c>
      <c r="V19" s="37" t="str" cm="1">
        <f t="array" ref="V19">IFERROR(INDEX(Tbl_ActDet[Units],MATCH(Table1[[#This Row],[WASH Domain
(Select in the dropdown list)]]&amp;Table1[[#This Row],[Activity
(Select in the dropdown list)]]&amp;Table1[[#This Row],[Indicators
(automatically filled)]],Tbl_ActDet[Domain]&amp;Tbl_ActDet[Activity]&amp;Tbl_ActDet[Indicators],0)),"")</f>
        <v/>
      </c>
      <c r="W19" s="37"/>
      <c r="X19" s="30"/>
      <c r="Y19" s="30"/>
      <c r="Z19" s="31"/>
      <c r="AA19" s="32"/>
      <c r="AB19" s="32"/>
      <c r="AC19" s="32"/>
      <c r="AD19" s="32"/>
      <c r="AE19" s="38">
        <f>SUM(Table1[[#This Row],['#Beneficiary
Boys]:['#Beneficiary
Women]])</f>
        <v>0</v>
      </c>
      <c r="AF19" s="44"/>
      <c r="AG19" s="44"/>
      <c r="AH19" s="45"/>
      <c r="AI19" s="43"/>
    </row>
    <row r="20" spans="1:35" x14ac:dyDescent="0.35">
      <c r="A20" s="25"/>
      <c r="B20" s="33"/>
      <c r="C20" s="26" t="s">
        <v>1749</v>
      </c>
      <c r="D20" s="54" t="str" cm="1">
        <f t="array" ref="D20">_xlfn.XLOOKUP(Table1[[#This Row],[Organisation Name
(Select in the dropdown list)]],Table18[[#All],[Organization]],Table18[[#All],[Acronym]],"",0)</f>
        <v/>
      </c>
      <c r="E20" s="26"/>
      <c r="F20" s="26"/>
      <c r="G20" s="26"/>
      <c r="H20" s="27"/>
      <c r="I20" s="27"/>
      <c r="J20" s="27"/>
      <c r="K20" s="27"/>
      <c r="L20" s="27"/>
      <c r="M20" s="27"/>
      <c r="N20" s="27"/>
      <c r="O20" s="27"/>
      <c r="P20" s="27"/>
      <c r="Q20" s="27"/>
      <c r="R20" s="28"/>
      <c r="S20" s="28"/>
      <c r="T20" s="28"/>
      <c r="U20" s="29" t="str">
        <f>IFERROR(VLOOKUP(Table1[[#This Row],[Activity
(Select in the dropdown list)]],Tbl_ActDet[[#All],[Activity]:[Indicators]],2,FALSE),"")</f>
        <v/>
      </c>
      <c r="V20" s="37" t="str" cm="1">
        <f t="array" ref="V20">IFERROR(INDEX(Tbl_ActDet[Units],MATCH(Table1[[#This Row],[WASH Domain
(Select in the dropdown list)]]&amp;Table1[[#This Row],[Activity
(Select in the dropdown list)]]&amp;Table1[[#This Row],[Indicators
(automatically filled)]],Tbl_ActDet[Domain]&amp;Tbl_ActDet[Activity]&amp;Tbl_ActDet[Indicators],0)),"")</f>
        <v/>
      </c>
      <c r="W20" s="37"/>
      <c r="X20" s="30"/>
      <c r="Y20" s="30"/>
      <c r="Z20" s="31"/>
      <c r="AA20" s="32"/>
      <c r="AB20" s="32"/>
      <c r="AC20" s="32"/>
      <c r="AD20" s="32"/>
      <c r="AE20" s="38">
        <f>SUM(Table1[[#This Row],['#Beneficiary
Boys]:['#Beneficiary
Women]])</f>
        <v>0</v>
      </c>
      <c r="AF20" s="44"/>
      <c r="AG20" s="44"/>
      <c r="AH20" s="45"/>
      <c r="AI20" s="43"/>
    </row>
    <row r="21" spans="1:35" x14ac:dyDescent="0.35">
      <c r="A21" s="25"/>
      <c r="B21" s="33"/>
      <c r="C21" s="26" t="s">
        <v>1749</v>
      </c>
      <c r="D21" s="54" t="str" cm="1">
        <f t="array" ref="D21">_xlfn.XLOOKUP(Table1[[#This Row],[Organisation Name
(Select in the dropdown list)]],Table18[[#All],[Organization]],Table18[[#All],[Acronym]],"",0)</f>
        <v/>
      </c>
      <c r="E21" s="26"/>
      <c r="F21" s="26"/>
      <c r="G21" s="26"/>
      <c r="H21" s="27"/>
      <c r="I21" s="27"/>
      <c r="J21" s="27"/>
      <c r="K21" s="27"/>
      <c r="L21" s="27"/>
      <c r="M21" s="27"/>
      <c r="N21" s="27"/>
      <c r="O21" s="27"/>
      <c r="P21" s="27"/>
      <c r="Q21" s="27"/>
      <c r="R21" s="28"/>
      <c r="S21" s="28"/>
      <c r="T21" s="28"/>
      <c r="U21" s="29" t="str">
        <f>IFERROR(VLOOKUP(Table1[[#This Row],[Activity
(Select in the dropdown list)]],Tbl_ActDet[[#All],[Activity]:[Indicators]],2,FALSE),"")</f>
        <v/>
      </c>
      <c r="V21" s="37" t="str" cm="1">
        <f t="array" ref="V21">IFERROR(INDEX(Tbl_ActDet[Units],MATCH(Table1[[#This Row],[WASH Domain
(Select in the dropdown list)]]&amp;Table1[[#This Row],[Activity
(Select in the dropdown list)]]&amp;Table1[[#This Row],[Indicators
(automatically filled)]],Tbl_ActDet[Domain]&amp;Tbl_ActDet[Activity]&amp;Tbl_ActDet[Indicators],0)),"")</f>
        <v/>
      </c>
      <c r="W21" s="37"/>
      <c r="X21" s="30"/>
      <c r="Y21" s="30"/>
      <c r="Z21" s="31"/>
      <c r="AA21" s="32"/>
      <c r="AB21" s="32"/>
      <c r="AC21" s="32"/>
      <c r="AD21" s="32"/>
      <c r="AE21" s="38">
        <f>SUM(Table1[[#This Row],['#Beneficiary
Boys]:['#Beneficiary
Women]])</f>
        <v>0</v>
      </c>
      <c r="AF21" s="44"/>
      <c r="AG21" s="44"/>
      <c r="AH21" s="45"/>
      <c r="AI21" s="43"/>
    </row>
    <row r="22" spans="1:35" x14ac:dyDescent="0.35">
      <c r="A22" s="25"/>
      <c r="B22" s="33"/>
      <c r="C22" s="26" t="s">
        <v>1749</v>
      </c>
      <c r="D22" s="54" t="str" cm="1">
        <f t="array" ref="D22">_xlfn.XLOOKUP(Table1[[#This Row],[Organisation Name
(Select in the dropdown list)]],Table18[[#All],[Organization]],Table18[[#All],[Acronym]],"",0)</f>
        <v/>
      </c>
      <c r="E22" s="26"/>
      <c r="F22" s="26"/>
      <c r="G22" s="26"/>
      <c r="H22" s="27"/>
      <c r="I22" s="27"/>
      <c r="J22" s="27"/>
      <c r="K22" s="27"/>
      <c r="L22" s="27"/>
      <c r="M22" s="27"/>
      <c r="N22" s="27"/>
      <c r="O22" s="27"/>
      <c r="P22" s="27"/>
      <c r="Q22" s="27"/>
      <c r="R22" s="28"/>
      <c r="S22" s="28"/>
      <c r="T22" s="28"/>
      <c r="U22" s="29" t="str">
        <f>IFERROR(VLOOKUP(Table1[[#This Row],[Activity
(Select in the dropdown list)]],Tbl_ActDet[[#All],[Activity]:[Indicators]],2,FALSE),"")</f>
        <v/>
      </c>
      <c r="V22" s="37" t="str" cm="1">
        <f t="array" ref="V22">IFERROR(INDEX(Tbl_ActDet[Units],MATCH(Table1[[#This Row],[WASH Domain
(Select in the dropdown list)]]&amp;Table1[[#This Row],[Activity
(Select in the dropdown list)]]&amp;Table1[[#This Row],[Indicators
(automatically filled)]],Tbl_ActDet[Domain]&amp;Tbl_ActDet[Activity]&amp;Tbl_ActDet[Indicators],0)),"")</f>
        <v/>
      </c>
      <c r="W22" s="37"/>
      <c r="X22" s="30"/>
      <c r="Y22" s="30"/>
      <c r="Z22" s="31"/>
      <c r="AA22" s="32"/>
      <c r="AB22" s="32"/>
      <c r="AC22" s="32"/>
      <c r="AD22" s="32"/>
      <c r="AE22" s="38">
        <f>SUM(Table1[[#This Row],['#Beneficiary
Boys]:['#Beneficiary
Women]])</f>
        <v>0</v>
      </c>
      <c r="AF22" s="44"/>
      <c r="AG22" s="44"/>
      <c r="AH22" s="45"/>
      <c r="AI22" s="43"/>
    </row>
    <row r="23" spans="1:35" x14ac:dyDescent="0.35">
      <c r="A23" s="25"/>
      <c r="B23" s="33"/>
      <c r="C23" s="26" t="s">
        <v>1749</v>
      </c>
      <c r="D23" s="54" t="str" cm="1">
        <f t="array" ref="D23">_xlfn.XLOOKUP(Table1[[#This Row],[Organisation Name
(Select in the dropdown list)]],Table18[[#All],[Organization]],Table18[[#All],[Acronym]],"",0)</f>
        <v/>
      </c>
      <c r="E23" s="26"/>
      <c r="F23" s="26"/>
      <c r="G23" s="26"/>
      <c r="H23" s="27"/>
      <c r="I23" s="27"/>
      <c r="J23" s="27"/>
      <c r="K23" s="27"/>
      <c r="L23" s="27"/>
      <c r="M23" s="27"/>
      <c r="N23" s="27"/>
      <c r="O23" s="27"/>
      <c r="P23" s="27"/>
      <c r="Q23" s="27"/>
      <c r="R23" s="28"/>
      <c r="S23" s="28"/>
      <c r="T23" s="28"/>
      <c r="U23" s="29" t="str">
        <f>IFERROR(VLOOKUP(Table1[[#This Row],[Activity
(Select in the dropdown list)]],Tbl_ActDet[[#All],[Activity]:[Indicators]],2,FALSE),"")</f>
        <v/>
      </c>
      <c r="V23" s="37" t="str" cm="1">
        <f t="array" ref="V23">IFERROR(INDEX(Tbl_ActDet[Units],MATCH(Table1[[#This Row],[WASH Domain
(Select in the dropdown list)]]&amp;Table1[[#This Row],[Activity
(Select in the dropdown list)]]&amp;Table1[[#This Row],[Indicators
(automatically filled)]],Tbl_ActDet[Domain]&amp;Tbl_ActDet[Activity]&amp;Tbl_ActDet[Indicators],0)),"")</f>
        <v/>
      </c>
      <c r="W23" s="37"/>
      <c r="X23" s="30"/>
      <c r="Y23" s="30"/>
      <c r="Z23" s="31"/>
      <c r="AA23" s="32"/>
      <c r="AB23" s="32"/>
      <c r="AC23" s="32"/>
      <c r="AD23" s="32"/>
      <c r="AE23" s="38">
        <f>SUM(Table1[[#This Row],['#Beneficiary
Boys]:['#Beneficiary
Women]])</f>
        <v>0</v>
      </c>
      <c r="AF23" s="44"/>
      <c r="AG23" s="44"/>
      <c r="AH23" s="45"/>
      <c r="AI23" s="43"/>
    </row>
    <row r="24" spans="1:35" x14ac:dyDescent="0.35">
      <c r="A24" s="25"/>
      <c r="B24" s="33"/>
      <c r="C24" s="26" t="s">
        <v>1749</v>
      </c>
      <c r="D24" s="54" t="str" cm="1">
        <f t="array" ref="D24">_xlfn.XLOOKUP(Table1[[#This Row],[Organisation Name
(Select in the dropdown list)]],Table18[[#All],[Organization]],Table18[[#All],[Acronym]],"",0)</f>
        <v/>
      </c>
      <c r="E24" s="26"/>
      <c r="F24" s="26"/>
      <c r="G24" s="26"/>
      <c r="H24" s="27"/>
      <c r="I24" s="27"/>
      <c r="J24" s="27"/>
      <c r="K24" s="27"/>
      <c r="L24" s="27"/>
      <c r="M24" s="27"/>
      <c r="N24" s="27"/>
      <c r="O24" s="27"/>
      <c r="P24" s="27"/>
      <c r="Q24" s="27"/>
      <c r="R24" s="28"/>
      <c r="S24" s="28"/>
      <c r="T24" s="28"/>
      <c r="U24" s="29" t="str">
        <f>IFERROR(VLOOKUP(Table1[[#This Row],[Activity
(Select in the dropdown list)]],Tbl_ActDet[[#All],[Activity]:[Indicators]],2,FALSE),"")</f>
        <v/>
      </c>
      <c r="V24" s="37" t="str" cm="1">
        <f t="array" ref="V24">IFERROR(INDEX(Tbl_ActDet[Units],MATCH(Table1[[#This Row],[WASH Domain
(Select in the dropdown list)]]&amp;Table1[[#This Row],[Activity
(Select in the dropdown list)]]&amp;Table1[[#This Row],[Indicators
(automatically filled)]],Tbl_ActDet[Domain]&amp;Tbl_ActDet[Activity]&amp;Tbl_ActDet[Indicators],0)),"")</f>
        <v/>
      </c>
      <c r="W24" s="37"/>
      <c r="X24" s="30"/>
      <c r="Y24" s="30"/>
      <c r="Z24" s="31"/>
      <c r="AA24" s="32"/>
      <c r="AB24" s="32"/>
      <c r="AC24" s="32"/>
      <c r="AD24" s="32"/>
      <c r="AE24" s="38">
        <f>SUM(Table1[[#This Row],['#Beneficiary
Boys]:['#Beneficiary
Women]])</f>
        <v>0</v>
      </c>
      <c r="AF24" s="44"/>
      <c r="AG24" s="44"/>
      <c r="AH24" s="45"/>
      <c r="AI24" s="43"/>
    </row>
    <row r="25" spans="1:35" x14ac:dyDescent="0.35">
      <c r="A25" s="25"/>
      <c r="B25" s="33"/>
      <c r="C25" s="26" t="s">
        <v>1749</v>
      </c>
      <c r="D25" s="54" t="str" cm="1">
        <f t="array" ref="D25">_xlfn.XLOOKUP(Table1[[#This Row],[Organisation Name
(Select in the dropdown list)]],Table18[[#All],[Organization]],Table18[[#All],[Acronym]],"",0)</f>
        <v/>
      </c>
      <c r="E25" s="26"/>
      <c r="F25" s="26"/>
      <c r="G25" s="26"/>
      <c r="H25" s="27"/>
      <c r="I25" s="27"/>
      <c r="J25" s="27"/>
      <c r="K25" s="27"/>
      <c r="L25" s="27"/>
      <c r="M25" s="27"/>
      <c r="N25" s="27"/>
      <c r="O25" s="27"/>
      <c r="P25" s="27"/>
      <c r="Q25" s="27"/>
      <c r="R25" s="28"/>
      <c r="S25" s="28"/>
      <c r="T25" s="28"/>
      <c r="U25" s="29" t="str">
        <f>IFERROR(VLOOKUP(Table1[[#This Row],[Activity
(Select in the dropdown list)]],Tbl_ActDet[[#All],[Activity]:[Indicators]],2,FALSE),"")</f>
        <v/>
      </c>
      <c r="V25" s="37" t="str" cm="1">
        <f t="array" ref="V25">IFERROR(INDEX(Tbl_ActDet[Units],MATCH(Table1[[#This Row],[WASH Domain
(Select in the dropdown list)]]&amp;Table1[[#This Row],[Activity
(Select in the dropdown list)]]&amp;Table1[[#This Row],[Indicators
(automatically filled)]],Tbl_ActDet[Domain]&amp;Tbl_ActDet[Activity]&amp;Tbl_ActDet[Indicators],0)),"")</f>
        <v/>
      </c>
      <c r="W25" s="37"/>
      <c r="X25" s="30"/>
      <c r="Y25" s="30"/>
      <c r="Z25" s="31"/>
      <c r="AA25" s="32"/>
      <c r="AB25" s="32"/>
      <c r="AC25" s="32"/>
      <c r="AD25" s="32"/>
      <c r="AE25" s="38">
        <f>SUM(Table1[[#This Row],['#Beneficiary
Boys]:['#Beneficiary
Women]])</f>
        <v>0</v>
      </c>
      <c r="AF25" s="44"/>
      <c r="AG25" s="44"/>
      <c r="AH25" s="45"/>
      <c r="AI25" s="43"/>
    </row>
    <row r="26" spans="1:35" x14ac:dyDescent="0.35">
      <c r="A26" s="25"/>
      <c r="B26" s="33"/>
      <c r="C26" s="26" t="s">
        <v>1749</v>
      </c>
      <c r="D26" s="54" t="str" cm="1">
        <f t="array" ref="D26">_xlfn.XLOOKUP(Table1[[#This Row],[Organisation Name
(Select in the dropdown list)]],Table18[[#All],[Organization]],Table18[[#All],[Acronym]],"",0)</f>
        <v/>
      </c>
      <c r="E26" s="26"/>
      <c r="F26" s="26"/>
      <c r="G26" s="26"/>
      <c r="H26" s="27"/>
      <c r="I26" s="27"/>
      <c r="J26" s="27"/>
      <c r="K26" s="27"/>
      <c r="L26" s="27"/>
      <c r="M26" s="27"/>
      <c r="N26" s="27"/>
      <c r="O26" s="27"/>
      <c r="P26" s="27"/>
      <c r="Q26" s="27"/>
      <c r="R26" s="28"/>
      <c r="S26" s="28"/>
      <c r="T26" s="28"/>
      <c r="U26" s="29" t="str">
        <f>IFERROR(VLOOKUP(Table1[[#This Row],[Activity
(Select in the dropdown list)]],Tbl_ActDet[[#All],[Activity]:[Indicators]],2,FALSE),"")</f>
        <v/>
      </c>
      <c r="V26" s="37" t="str" cm="1">
        <f t="array" ref="V26">IFERROR(INDEX(Tbl_ActDet[Units],MATCH(Table1[[#This Row],[WASH Domain
(Select in the dropdown list)]]&amp;Table1[[#This Row],[Activity
(Select in the dropdown list)]]&amp;Table1[[#This Row],[Indicators
(automatically filled)]],Tbl_ActDet[Domain]&amp;Tbl_ActDet[Activity]&amp;Tbl_ActDet[Indicators],0)),"")</f>
        <v/>
      </c>
      <c r="W26" s="37"/>
      <c r="X26" s="30"/>
      <c r="Y26" s="30"/>
      <c r="Z26" s="31"/>
      <c r="AA26" s="32"/>
      <c r="AB26" s="32"/>
      <c r="AC26" s="32"/>
      <c r="AD26" s="32"/>
      <c r="AE26" s="38">
        <f>SUM(Table1[[#This Row],['#Beneficiary
Boys]:['#Beneficiary
Women]])</f>
        <v>0</v>
      </c>
      <c r="AF26" s="44"/>
      <c r="AG26" s="44"/>
      <c r="AH26" s="45"/>
      <c r="AI26" s="43"/>
    </row>
    <row r="27" spans="1:35" x14ac:dyDescent="0.35">
      <c r="A27" s="25"/>
      <c r="B27" s="33"/>
      <c r="C27" s="26" t="s">
        <v>1749</v>
      </c>
      <c r="D27" s="54" t="str" cm="1">
        <f t="array" ref="D27">_xlfn.XLOOKUP(Table1[[#This Row],[Organisation Name
(Select in the dropdown list)]],Table18[[#All],[Organization]],Table18[[#All],[Acronym]],"",0)</f>
        <v/>
      </c>
      <c r="E27" s="26"/>
      <c r="F27" s="26"/>
      <c r="G27" s="26"/>
      <c r="H27" s="27"/>
      <c r="I27" s="27"/>
      <c r="J27" s="27"/>
      <c r="K27" s="27"/>
      <c r="L27" s="27"/>
      <c r="M27" s="27"/>
      <c r="N27" s="27"/>
      <c r="O27" s="27"/>
      <c r="P27" s="27"/>
      <c r="Q27" s="27"/>
      <c r="R27" s="28"/>
      <c r="S27" s="28"/>
      <c r="T27" s="28"/>
      <c r="U27" s="29" t="str">
        <f>IFERROR(VLOOKUP(Table1[[#This Row],[Activity
(Select in the dropdown list)]],Tbl_ActDet[[#All],[Activity]:[Indicators]],2,FALSE),"")</f>
        <v/>
      </c>
      <c r="V27" s="37" t="str" cm="1">
        <f t="array" ref="V27">IFERROR(INDEX(Tbl_ActDet[Units],MATCH(Table1[[#This Row],[WASH Domain
(Select in the dropdown list)]]&amp;Table1[[#This Row],[Activity
(Select in the dropdown list)]]&amp;Table1[[#This Row],[Indicators
(automatically filled)]],Tbl_ActDet[Domain]&amp;Tbl_ActDet[Activity]&amp;Tbl_ActDet[Indicators],0)),"")</f>
        <v/>
      </c>
      <c r="W27" s="37"/>
      <c r="X27" s="30"/>
      <c r="Y27" s="30"/>
      <c r="Z27" s="31"/>
      <c r="AA27" s="32"/>
      <c r="AB27" s="32"/>
      <c r="AC27" s="32"/>
      <c r="AD27" s="32"/>
      <c r="AE27" s="38">
        <f>SUM(Table1[[#This Row],['#Beneficiary
Boys]:['#Beneficiary
Women]])</f>
        <v>0</v>
      </c>
      <c r="AF27" s="44"/>
      <c r="AG27" s="44"/>
      <c r="AH27" s="45"/>
      <c r="AI27" s="43"/>
    </row>
    <row r="28" spans="1:35" x14ac:dyDescent="0.35">
      <c r="A28" s="25"/>
      <c r="B28" s="33"/>
      <c r="C28" s="26" t="s">
        <v>1749</v>
      </c>
      <c r="D28" s="54" t="str" cm="1">
        <f t="array" ref="D28">_xlfn.XLOOKUP(Table1[[#This Row],[Organisation Name
(Select in the dropdown list)]],Table18[[#All],[Organization]],Table18[[#All],[Acronym]],"",0)</f>
        <v/>
      </c>
      <c r="E28" s="26"/>
      <c r="F28" s="26"/>
      <c r="G28" s="26"/>
      <c r="H28" s="27"/>
      <c r="I28" s="27"/>
      <c r="J28" s="27"/>
      <c r="K28" s="27"/>
      <c r="L28" s="27"/>
      <c r="M28" s="27"/>
      <c r="N28" s="27"/>
      <c r="O28" s="27"/>
      <c r="P28" s="27"/>
      <c r="Q28" s="27"/>
      <c r="R28" s="28"/>
      <c r="S28" s="28"/>
      <c r="T28" s="28"/>
      <c r="U28" s="29" t="str">
        <f>IFERROR(VLOOKUP(Table1[[#This Row],[Activity
(Select in the dropdown list)]],Tbl_ActDet[[#All],[Activity]:[Indicators]],2,FALSE),"")</f>
        <v/>
      </c>
      <c r="V28" s="37" t="str" cm="1">
        <f t="array" ref="V28">IFERROR(INDEX(Tbl_ActDet[Units],MATCH(Table1[[#This Row],[WASH Domain
(Select in the dropdown list)]]&amp;Table1[[#This Row],[Activity
(Select in the dropdown list)]]&amp;Table1[[#This Row],[Indicators
(automatically filled)]],Tbl_ActDet[Domain]&amp;Tbl_ActDet[Activity]&amp;Tbl_ActDet[Indicators],0)),"")</f>
        <v/>
      </c>
      <c r="W28" s="37"/>
      <c r="X28" s="30"/>
      <c r="Y28" s="30"/>
      <c r="Z28" s="31"/>
      <c r="AA28" s="32"/>
      <c r="AB28" s="32"/>
      <c r="AC28" s="32"/>
      <c r="AD28" s="32"/>
      <c r="AE28" s="38">
        <f>SUM(Table1[[#This Row],['#Beneficiary
Boys]:['#Beneficiary
Women]])</f>
        <v>0</v>
      </c>
      <c r="AF28" s="44"/>
      <c r="AG28" s="44"/>
      <c r="AH28" s="45"/>
      <c r="AI28" s="43"/>
    </row>
    <row r="29" spans="1:35" x14ac:dyDescent="0.35">
      <c r="A29" s="25"/>
      <c r="B29" s="33"/>
      <c r="C29" s="26" t="s">
        <v>1749</v>
      </c>
      <c r="D29" s="54" t="str" cm="1">
        <f t="array" ref="D29">_xlfn.XLOOKUP(Table1[[#This Row],[Organisation Name
(Select in the dropdown list)]],Table18[[#All],[Organization]],Table18[[#All],[Acronym]],"",0)</f>
        <v/>
      </c>
      <c r="E29" s="26"/>
      <c r="F29" s="26"/>
      <c r="G29" s="26"/>
      <c r="H29" s="27"/>
      <c r="I29" s="27"/>
      <c r="J29" s="27"/>
      <c r="K29" s="27"/>
      <c r="L29" s="27"/>
      <c r="M29" s="27"/>
      <c r="N29" s="27"/>
      <c r="O29" s="27"/>
      <c r="P29" s="27"/>
      <c r="Q29" s="27"/>
      <c r="R29" s="28"/>
      <c r="S29" s="28"/>
      <c r="T29" s="28"/>
      <c r="U29" s="29" t="str">
        <f>IFERROR(VLOOKUP(Table1[[#This Row],[Activity
(Select in the dropdown list)]],Tbl_ActDet[[#All],[Activity]:[Indicators]],2,FALSE),"")</f>
        <v/>
      </c>
      <c r="V29" s="37" t="str" cm="1">
        <f t="array" ref="V29">IFERROR(INDEX(Tbl_ActDet[Units],MATCH(Table1[[#This Row],[WASH Domain
(Select in the dropdown list)]]&amp;Table1[[#This Row],[Activity
(Select in the dropdown list)]]&amp;Table1[[#This Row],[Indicators
(automatically filled)]],Tbl_ActDet[Domain]&amp;Tbl_ActDet[Activity]&amp;Tbl_ActDet[Indicators],0)),"")</f>
        <v/>
      </c>
      <c r="W29" s="37"/>
      <c r="X29" s="30"/>
      <c r="Y29" s="30"/>
      <c r="Z29" s="31"/>
      <c r="AA29" s="32"/>
      <c r="AB29" s="32"/>
      <c r="AC29" s="32"/>
      <c r="AD29" s="32"/>
      <c r="AE29" s="38">
        <f>SUM(Table1[[#This Row],['#Beneficiary
Boys]:['#Beneficiary
Women]])</f>
        <v>0</v>
      </c>
      <c r="AF29" s="44"/>
      <c r="AG29" s="44"/>
      <c r="AH29" s="45"/>
      <c r="AI29" s="43"/>
    </row>
    <row r="30" spans="1:35" x14ac:dyDescent="0.35">
      <c r="A30" s="25"/>
      <c r="B30" s="33"/>
      <c r="C30" s="26" t="s">
        <v>1749</v>
      </c>
      <c r="D30" s="54" t="str" cm="1">
        <f t="array" ref="D30">_xlfn.XLOOKUP(Table1[[#This Row],[Organisation Name
(Select in the dropdown list)]],Table18[[#All],[Organization]],Table18[[#All],[Acronym]],"",0)</f>
        <v/>
      </c>
      <c r="E30" s="26"/>
      <c r="F30" s="26"/>
      <c r="G30" s="26"/>
      <c r="H30" s="27"/>
      <c r="I30" s="27"/>
      <c r="J30" s="27"/>
      <c r="K30" s="27"/>
      <c r="L30" s="27"/>
      <c r="M30" s="27"/>
      <c r="N30" s="27"/>
      <c r="O30" s="27"/>
      <c r="P30" s="27"/>
      <c r="Q30" s="27"/>
      <c r="R30" s="28"/>
      <c r="S30" s="28"/>
      <c r="T30" s="28"/>
      <c r="U30" s="29" t="str">
        <f>IFERROR(VLOOKUP(Table1[[#This Row],[Activity
(Select in the dropdown list)]],Tbl_ActDet[[#All],[Activity]:[Indicators]],2,FALSE),"")</f>
        <v/>
      </c>
      <c r="V30" s="37" t="str" cm="1">
        <f t="array" ref="V30">IFERROR(INDEX(Tbl_ActDet[Units],MATCH(Table1[[#This Row],[WASH Domain
(Select in the dropdown list)]]&amp;Table1[[#This Row],[Activity
(Select in the dropdown list)]]&amp;Table1[[#This Row],[Indicators
(automatically filled)]],Tbl_ActDet[Domain]&amp;Tbl_ActDet[Activity]&amp;Tbl_ActDet[Indicators],0)),"")</f>
        <v/>
      </c>
      <c r="W30" s="37"/>
      <c r="X30" s="30"/>
      <c r="Y30" s="30"/>
      <c r="Z30" s="31"/>
      <c r="AA30" s="32"/>
      <c r="AB30" s="32"/>
      <c r="AC30" s="32"/>
      <c r="AD30" s="32"/>
      <c r="AE30" s="38">
        <f>SUM(Table1[[#This Row],['#Beneficiary
Boys]:['#Beneficiary
Women]])</f>
        <v>0</v>
      </c>
      <c r="AF30" s="44"/>
      <c r="AG30" s="44"/>
      <c r="AH30" s="45"/>
      <c r="AI30" s="43"/>
    </row>
    <row r="31" spans="1:35" x14ac:dyDescent="0.35">
      <c r="A31" s="25"/>
      <c r="B31" s="33"/>
      <c r="C31" s="26" t="s">
        <v>1749</v>
      </c>
      <c r="D31" s="54" t="str" cm="1">
        <f t="array" ref="D31">_xlfn.XLOOKUP(Table1[[#This Row],[Organisation Name
(Select in the dropdown list)]],Table18[[#All],[Organization]],Table18[[#All],[Acronym]],"",0)</f>
        <v/>
      </c>
      <c r="E31" s="26"/>
      <c r="F31" s="26"/>
      <c r="G31" s="26"/>
      <c r="H31" s="27"/>
      <c r="I31" s="27"/>
      <c r="J31" s="27"/>
      <c r="K31" s="27"/>
      <c r="L31" s="27"/>
      <c r="M31" s="27"/>
      <c r="N31" s="27"/>
      <c r="O31" s="27"/>
      <c r="P31" s="27"/>
      <c r="Q31" s="27"/>
      <c r="R31" s="28"/>
      <c r="S31" s="28"/>
      <c r="T31" s="28"/>
      <c r="U31" s="29" t="str">
        <f>IFERROR(VLOOKUP(Table1[[#This Row],[Activity
(Select in the dropdown list)]],Tbl_ActDet[[#All],[Activity]:[Indicators]],2,FALSE),"")</f>
        <v/>
      </c>
      <c r="V31" s="37" t="str" cm="1">
        <f t="array" ref="V31">IFERROR(INDEX(Tbl_ActDet[Units],MATCH(Table1[[#This Row],[WASH Domain
(Select in the dropdown list)]]&amp;Table1[[#This Row],[Activity
(Select in the dropdown list)]]&amp;Table1[[#This Row],[Indicators
(automatically filled)]],Tbl_ActDet[Domain]&amp;Tbl_ActDet[Activity]&amp;Tbl_ActDet[Indicators],0)),"")</f>
        <v/>
      </c>
      <c r="W31" s="37"/>
      <c r="X31" s="30"/>
      <c r="Y31" s="30"/>
      <c r="Z31" s="31"/>
      <c r="AA31" s="32"/>
      <c r="AB31" s="32"/>
      <c r="AC31" s="32"/>
      <c r="AD31" s="32"/>
      <c r="AE31" s="38">
        <f>SUM(Table1[[#This Row],['#Beneficiary
Boys]:['#Beneficiary
Women]])</f>
        <v>0</v>
      </c>
      <c r="AF31" s="44"/>
      <c r="AG31" s="44"/>
      <c r="AH31" s="45"/>
      <c r="AI31" s="43"/>
    </row>
    <row r="32" spans="1:35" x14ac:dyDescent="0.35">
      <c r="A32" s="25"/>
      <c r="B32" s="33"/>
      <c r="C32" s="26" t="s">
        <v>1749</v>
      </c>
      <c r="D32" s="54" t="str" cm="1">
        <f t="array" ref="D32">_xlfn.XLOOKUP(Table1[[#This Row],[Organisation Name
(Select in the dropdown list)]],Table18[[#All],[Organization]],Table18[[#All],[Acronym]],"",0)</f>
        <v/>
      </c>
      <c r="E32" s="26"/>
      <c r="F32" s="26"/>
      <c r="G32" s="26"/>
      <c r="H32" s="27"/>
      <c r="I32" s="27"/>
      <c r="J32" s="27"/>
      <c r="K32" s="27"/>
      <c r="L32" s="27"/>
      <c r="M32" s="27"/>
      <c r="N32" s="27"/>
      <c r="O32" s="27"/>
      <c r="P32" s="27"/>
      <c r="Q32" s="27"/>
      <c r="R32" s="28"/>
      <c r="S32" s="28"/>
      <c r="T32" s="28"/>
      <c r="U32" s="29" t="str">
        <f>IFERROR(VLOOKUP(Table1[[#This Row],[Activity
(Select in the dropdown list)]],Tbl_ActDet[[#All],[Activity]:[Indicators]],2,FALSE),"")</f>
        <v/>
      </c>
      <c r="V32" s="37" t="str" cm="1">
        <f t="array" ref="V32">IFERROR(INDEX(Tbl_ActDet[Units],MATCH(Table1[[#This Row],[WASH Domain
(Select in the dropdown list)]]&amp;Table1[[#This Row],[Activity
(Select in the dropdown list)]]&amp;Table1[[#This Row],[Indicators
(automatically filled)]],Tbl_ActDet[Domain]&amp;Tbl_ActDet[Activity]&amp;Tbl_ActDet[Indicators],0)),"")</f>
        <v/>
      </c>
      <c r="W32" s="37"/>
      <c r="X32" s="30"/>
      <c r="Y32" s="30"/>
      <c r="Z32" s="31"/>
      <c r="AA32" s="32"/>
      <c r="AB32" s="32"/>
      <c r="AC32" s="32"/>
      <c r="AD32" s="32"/>
      <c r="AE32" s="38">
        <f>SUM(Table1[[#This Row],['#Beneficiary
Boys]:['#Beneficiary
Women]])</f>
        <v>0</v>
      </c>
      <c r="AF32" s="44"/>
      <c r="AG32" s="44"/>
      <c r="AH32" s="45"/>
      <c r="AI32" s="43"/>
    </row>
    <row r="33" spans="1:35" x14ac:dyDescent="0.35">
      <c r="A33" s="25"/>
      <c r="B33" s="33"/>
      <c r="C33" s="26" t="s">
        <v>1749</v>
      </c>
      <c r="D33" s="54" t="str" cm="1">
        <f t="array" ref="D33">_xlfn.XLOOKUP(Table1[[#This Row],[Organisation Name
(Select in the dropdown list)]],Table18[[#All],[Organization]],Table18[[#All],[Acronym]],"",0)</f>
        <v/>
      </c>
      <c r="E33" s="26"/>
      <c r="F33" s="26"/>
      <c r="G33" s="26"/>
      <c r="H33" s="27"/>
      <c r="I33" s="27"/>
      <c r="J33" s="27"/>
      <c r="K33" s="27"/>
      <c r="L33" s="27"/>
      <c r="M33" s="27"/>
      <c r="N33" s="27"/>
      <c r="O33" s="27"/>
      <c r="P33" s="27"/>
      <c r="Q33" s="27"/>
      <c r="R33" s="28"/>
      <c r="S33" s="28"/>
      <c r="T33" s="28"/>
      <c r="U33" s="29" t="str">
        <f>IFERROR(VLOOKUP(Table1[[#This Row],[Activity
(Select in the dropdown list)]],Tbl_ActDet[[#All],[Activity]:[Indicators]],2,FALSE),"")</f>
        <v/>
      </c>
      <c r="V33" s="37" t="str" cm="1">
        <f t="array" ref="V33">IFERROR(INDEX(Tbl_ActDet[Units],MATCH(Table1[[#This Row],[WASH Domain
(Select in the dropdown list)]]&amp;Table1[[#This Row],[Activity
(Select in the dropdown list)]]&amp;Table1[[#This Row],[Indicators
(automatically filled)]],Tbl_ActDet[Domain]&amp;Tbl_ActDet[Activity]&amp;Tbl_ActDet[Indicators],0)),"")</f>
        <v/>
      </c>
      <c r="W33" s="37"/>
      <c r="X33" s="30"/>
      <c r="Y33" s="30"/>
      <c r="Z33" s="31"/>
      <c r="AA33" s="32"/>
      <c r="AB33" s="32"/>
      <c r="AC33" s="32"/>
      <c r="AD33" s="32"/>
      <c r="AE33" s="38">
        <f>SUM(Table1[[#This Row],['#Beneficiary
Boys]:['#Beneficiary
Women]])</f>
        <v>0</v>
      </c>
      <c r="AF33" s="44"/>
      <c r="AG33" s="44"/>
      <c r="AH33" s="45"/>
      <c r="AI33" s="43"/>
    </row>
    <row r="34" spans="1:35" x14ac:dyDescent="0.35">
      <c r="A34" s="25"/>
      <c r="B34" s="33"/>
      <c r="C34" s="26" t="s">
        <v>1749</v>
      </c>
      <c r="D34" s="54" t="str" cm="1">
        <f t="array" ref="D34">_xlfn.XLOOKUP(Table1[[#This Row],[Organisation Name
(Select in the dropdown list)]],Table18[[#All],[Organization]],Table18[[#All],[Acronym]],"",0)</f>
        <v/>
      </c>
      <c r="E34" s="26"/>
      <c r="F34" s="26"/>
      <c r="G34" s="26"/>
      <c r="H34" s="27"/>
      <c r="I34" s="27"/>
      <c r="J34" s="27"/>
      <c r="K34" s="27"/>
      <c r="L34" s="27"/>
      <c r="M34" s="27"/>
      <c r="N34" s="27"/>
      <c r="O34" s="27"/>
      <c r="P34" s="27"/>
      <c r="Q34" s="27"/>
      <c r="R34" s="28"/>
      <c r="S34" s="28"/>
      <c r="T34" s="28"/>
      <c r="U34" s="29" t="str">
        <f>IFERROR(VLOOKUP(Table1[[#This Row],[Activity
(Select in the dropdown list)]],Tbl_ActDet[[#All],[Activity]:[Indicators]],2,FALSE),"")</f>
        <v/>
      </c>
      <c r="V34" s="37" t="str" cm="1">
        <f t="array" ref="V34">IFERROR(INDEX(Tbl_ActDet[Units],MATCH(Table1[[#This Row],[WASH Domain
(Select in the dropdown list)]]&amp;Table1[[#This Row],[Activity
(Select in the dropdown list)]]&amp;Table1[[#This Row],[Indicators
(automatically filled)]],Tbl_ActDet[Domain]&amp;Tbl_ActDet[Activity]&amp;Tbl_ActDet[Indicators],0)),"")</f>
        <v/>
      </c>
      <c r="W34" s="37"/>
      <c r="X34" s="30"/>
      <c r="Y34" s="30"/>
      <c r="Z34" s="31"/>
      <c r="AA34" s="32"/>
      <c r="AB34" s="32"/>
      <c r="AC34" s="32"/>
      <c r="AD34" s="32"/>
      <c r="AE34" s="38">
        <f>SUM(Table1[[#This Row],['#Beneficiary
Boys]:['#Beneficiary
Women]])</f>
        <v>0</v>
      </c>
      <c r="AF34" s="44"/>
      <c r="AG34" s="44"/>
      <c r="AH34" s="45"/>
      <c r="AI34" s="43"/>
    </row>
    <row r="35" spans="1:35" x14ac:dyDescent="0.35">
      <c r="A35" s="25"/>
      <c r="B35" s="33"/>
      <c r="C35" s="26" t="s">
        <v>1749</v>
      </c>
      <c r="D35" s="54" t="str" cm="1">
        <f t="array" ref="D35">_xlfn.XLOOKUP(Table1[[#This Row],[Organisation Name
(Select in the dropdown list)]],Table18[[#All],[Organization]],Table18[[#All],[Acronym]],"",0)</f>
        <v/>
      </c>
      <c r="E35" s="26"/>
      <c r="F35" s="26"/>
      <c r="G35" s="26"/>
      <c r="H35" s="27"/>
      <c r="I35" s="27"/>
      <c r="J35" s="27"/>
      <c r="K35" s="27"/>
      <c r="L35" s="27"/>
      <c r="M35" s="27"/>
      <c r="N35" s="27"/>
      <c r="O35" s="27"/>
      <c r="P35" s="27"/>
      <c r="Q35" s="27"/>
      <c r="R35" s="28"/>
      <c r="S35" s="28"/>
      <c r="T35" s="28"/>
      <c r="U35" s="29" t="str">
        <f>IFERROR(VLOOKUP(Table1[[#This Row],[Activity
(Select in the dropdown list)]],Tbl_ActDet[[#All],[Activity]:[Indicators]],2,FALSE),"")</f>
        <v/>
      </c>
      <c r="V35" s="37" t="str" cm="1">
        <f t="array" ref="V35">IFERROR(INDEX(Tbl_ActDet[Units],MATCH(Table1[[#This Row],[WASH Domain
(Select in the dropdown list)]]&amp;Table1[[#This Row],[Activity
(Select in the dropdown list)]]&amp;Table1[[#This Row],[Indicators
(automatically filled)]],Tbl_ActDet[Domain]&amp;Tbl_ActDet[Activity]&amp;Tbl_ActDet[Indicators],0)),"")</f>
        <v/>
      </c>
      <c r="W35" s="37"/>
      <c r="X35" s="30"/>
      <c r="Y35" s="30"/>
      <c r="Z35" s="31"/>
      <c r="AA35" s="32"/>
      <c r="AB35" s="32"/>
      <c r="AC35" s="32"/>
      <c r="AD35" s="32"/>
      <c r="AE35" s="38">
        <f>SUM(Table1[[#This Row],['#Beneficiary
Boys]:['#Beneficiary
Women]])</f>
        <v>0</v>
      </c>
      <c r="AF35" s="44"/>
      <c r="AG35" s="44"/>
      <c r="AH35" s="45"/>
      <c r="AI35" s="43"/>
    </row>
    <row r="36" spans="1:35" x14ac:dyDescent="0.35">
      <c r="A36" s="25"/>
      <c r="B36" s="33"/>
      <c r="C36" s="26" t="s">
        <v>1749</v>
      </c>
      <c r="D36" s="54" t="str" cm="1">
        <f t="array" ref="D36">_xlfn.XLOOKUP(Table1[[#This Row],[Organisation Name
(Select in the dropdown list)]],Table18[[#All],[Organization]],Table18[[#All],[Acronym]],"",0)</f>
        <v/>
      </c>
      <c r="E36" s="26"/>
      <c r="F36" s="26"/>
      <c r="G36" s="26"/>
      <c r="H36" s="27"/>
      <c r="I36" s="27"/>
      <c r="J36" s="27"/>
      <c r="K36" s="27"/>
      <c r="L36" s="27"/>
      <c r="M36" s="27"/>
      <c r="N36" s="27"/>
      <c r="O36" s="27"/>
      <c r="P36" s="27"/>
      <c r="Q36" s="27"/>
      <c r="R36" s="28"/>
      <c r="S36" s="28"/>
      <c r="T36" s="28"/>
      <c r="U36" s="29" t="str">
        <f>IFERROR(VLOOKUP(Table1[[#This Row],[Activity
(Select in the dropdown list)]],Tbl_ActDet[[#All],[Activity]:[Indicators]],2,FALSE),"")</f>
        <v/>
      </c>
      <c r="V36" s="37" t="str" cm="1">
        <f t="array" ref="V36">IFERROR(INDEX(Tbl_ActDet[Units],MATCH(Table1[[#This Row],[WASH Domain
(Select in the dropdown list)]]&amp;Table1[[#This Row],[Activity
(Select in the dropdown list)]]&amp;Table1[[#This Row],[Indicators
(automatically filled)]],Tbl_ActDet[Domain]&amp;Tbl_ActDet[Activity]&amp;Tbl_ActDet[Indicators],0)),"")</f>
        <v/>
      </c>
      <c r="W36" s="37"/>
      <c r="X36" s="30"/>
      <c r="Y36" s="30"/>
      <c r="Z36" s="31"/>
      <c r="AA36" s="32"/>
      <c r="AB36" s="32"/>
      <c r="AC36" s="32"/>
      <c r="AD36" s="32"/>
      <c r="AE36" s="38">
        <f>SUM(Table1[[#This Row],['#Beneficiary
Boys]:['#Beneficiary
Women]])</f>
        <v>0</v>
      </c>
      <c r="AF36" s="44"/>
      <c r="AG36" s="44"/>
      <c r="AH36" s="45"/>
      <c r="AI36" s="43"/>
    </row>
    <row r="37" spans="1:35" x14ac:dyDescent="0.35">
      <c r="A37" s="25"/>
      <c r="B37" s="33"/>
      <c r="C37" s="26" t="s">
        <v>1749</v>
      </c>
      <c r="D37" s="54" t="str" cm="1">
        <f t="array" ref="D37">_xlfn.XLOOKUP(Table1[[#This Row],[Organisation Name
(Select in the dropdown list)]],Table18[[#All],[Organization]],Table18[[#All],[Acronym]],"",0)</f>
        <v/>
      </c>
      <c r="E37" s="26"/>
      <c r="F37" s="26"/>
      <c r="G37" s="26"/>
      <c r="H37" s="27"/>
      <c r="I37" s="27"/>
      <c r="J37" s="27"/>
      <c r="K37" s="27"/>
      <c r="L37" s="27"/>
      <c r="M37" s="27"/>
      <c r="N37" s="27"/>
      <c r="O37" s="27"/>
      <c r="P37" s="27"/>
      <c r="Q37" s="27"/>
      <c r="R37" s="28"/>
      <c r="S37" s="28"/>
      <c r="T37" s="28"/>
      <c r="U37" s="29" t="str">
        <f>IFERROR(VLOOKUP(Table1[[#This Row],[Activity
(Select in the dropdown list)]],Tbl_ActDet[[#All],[Activity]:[Indicators]],2,FALSE),"")</f>
        <v/>
      </c>
      <c r="V37" s="37" t="str" cm="1">
        <f t="array" ref="V37">IFERROR(INDEX(Tbl_ActDet[Units],MATCH(Table1[[#This Row],[WASH Domain
(Select in the dropdown list)]]&amp;Table1[[#This Row],[Activity
(Select in the dropdown list)]]&amp;Table1[[#This Row],[Indicators
(automatically filled)]],Tbl_ActDet[Domain]&amp;Tbl_ActDet[Activity]&amp;Tbl_ActDet[Indicators],0)),"")</f>
        <v/>
      </c>
      <c r="W37" s="37"/>
      <c r="X37" s="30"/>
      <c r="Y37" s="30"/>
      <c r="Z37" s="31"/>
      <c r="AA37" s="32"/>
      <c r="AB37" s="32"/>
      <c r="AC37" s="32"/>
      <c r="AD37" s="32"/>
      <c r="AE37" s="38">
        <f>SUM(Table1[[#This Row],['#Beneficiary
Boys]:['#Beneficiary
Women]])</f>
        <v>0</v>
      </c>
      <c r="AF37" s="44"/>
      <c r="AG37" s="44"/>
      <c r="AH37" s="45"/>
      <c r="AI37" s="43"/>
    </row>
    <row r="38" spans="1:35" x14ac:dyDescent="0.35">
      <c r="A38" s="25"/>
      <c r="B38" s="33"/>
      <c r="C38" s="26" t="s">
        <v>1749</v>
      </c>
      <c r="D38" s="54" t="str" cm="1">
        <f t="array" ref="D38">_xlfn.XLOOKUP(Table1[[#This Row],[Organisation Name
(Select in the dropdown list)]],Table18[[#All],[Organization]],Table18[[#All],[Acronym]],"",0)</f>
        <v/>
      </c>
      <c r="E38" s="26"/>
      <c r="F38" s="26"/>
      <c r="G38" s="26"/>
      <c r="H38" s="27"/>
      <c r="I38" s="27"/>
      <c r="J38" s="27"/>
      <c r="K38" s="27"/>
      <c r="L38" s="27"/>
      <c r="M38" s="27"/>
      <c r="N38" s="27"/>
      <c r="O38" s="27"/>
      <c r="P38" s="27"/>
      <c r="Q38" s="27"/>
      <c r="R38" s="28"/>
      <c r="S38" s="28"/>
      <c r="T38" s="28"/>
      <c r="U38" s="29" t="str">
        <f>IFERROR(VLOOKUP(Table1[[#This Row],[Activity
(Select in the dropdown list)]],Tbl_ActDet[[#All],[Activity]:[Indicators]],2,FALSE),"")</f>
        <v/>
      </c>
      <c r="V38" s="37" t="str" cm="1">
        <f t="array" ref="V38">IFERROR(INDEX(Tbl_ActDet[Units],MATCH(Table1[[#This Row],[WASH Domain
(Select in the dropdown list)]]&amp;Table1[[#This Row],[Activity
(Select in the dropdown list)]]&amp;Table1[[#This Row],[Indicators
(automatically filled)]],Tbl_ActDet[Domain]&amp;Tbl_ActDet[Activity]&amp;Tbl_ActDet[Indicators],0)),"")</f>
        <v/>
      </c>
      <c r="W38" s="37"/>
      <c r="X38" s="30"/>
      <c r="Y38" s="30"/>
      <c r="Z38" s="31"/>
      <c r="AA38" s="32"/>
      <c r="AB38" s="32"/>
      <c r="AC38" s="32"/>
      <c r="AD38" s="32"/>
      <c r="AE38" s="38">
        <f>SUM(Table1[[#This Row],['#Beneficiary
Boys]:['#Beneficiary
Women]])</f>
        <v>0</v>
      </c>
      <c r="AF38" s="44"/>
      <c r="AG38" s="44"/>
      <c r="AH38" s="45"/>
      <c r="AI38" s="43"/>
    </row>
    <row r="39" spans="1:35" x14ac:dyDescent="0.35">
      <c r="A39" s="25"/>
      <c r="B39" s="33"/>
      <c r="C39" s="26" t="s">
        <v>1749</v>
      </c>
      <c r="D39" s="54" t="str" cm="1">
        <f t="array" ref="D39">_xlfn.XLOOKUP(Table1[[#This Row],[Organisation Name
(Select in the dropdown list)]],Table18[[#All],[Organization]],Table18[[#All],[Acronym]],"",0)</f>
        <v/>
      </c>
      <c r="E39" s="26"/>
      <c r="F39" s="26"/>
      <c r="G39" s="26"/>
      <c r="H39" s="27"/>
      <c r="I39" s="27"/>
      <c r="J39" s="27"/>
      <c r="K39" s="27"/>
      <c r="L39" s="27"/>
      <c r="M39" s="27"/>
      <c r="N39" s="27"/>
      <c r="O39" s="27"/>
      <c r="P39" s="27"/>
      <c r="Q39" s="27"/>
      <c r="R39" s="28"/>
      <c r="S39" s="28"/>
      <c r="T39" s="28"/>
      <c r="U39" s="29" t="str">
        <f>IFERROR(VLOOKUP(Table1[[#This Row],[Activity
(Select in the dropdown list)]],Tbl_ActDet[[#All],[Activity]:[Indicators]],2,FALSE),"")</f>
        <v/>
      </c>
      <c r="V39" s="37" t="str" cm="1">
        <f t="array" ref="V39">IFERROR(INDEX(Tbl_ActDet[Units],MATCH(Table1[[#This Row],[WASH Domain
(Select in the dropdown list)]]&amp;Table1[[#This Row],[Activity
(Select in the dropdown list)]]&amp;Table1[[#This Row],[Indicators
(automatically filled)]],Tbl_ActDet[Domain]&amp;Tbl_ActDet[Activity]&amp;Tbl_ActDet[Indicators],0)),"")</f>
        <v/>
      </c>
      <c r="W39" s="37"/>
      <c r="X39" s="30"/>
      <c r="Y39" s="30"/>
      <c r="Z39" s="31"/>
      <c r="AA39" s="32"/>
      <c r="AB39" s="32"/>
      <c r="AC39" s="32"/>
      <c r="AD39" s="32"/>
      <c r="AE39" s="38">
        <f>SUM(Table1[[#This Row],['#Beneficiary
Boys]:['#Beneficiary
Women]])</f>
        <v>0</v>
      </c>
      <c r="AF39" s="44"/>
      <c r="AG39" s="44"/>
      <c r="AH39" s="45"/>
      <c r="AI39" s="43"/>
    </row>
    <row r="40" spans="1:35" x14ac:dyDescent="0.35">
      <c r="A40" s="25"/>
      <c r="B40" s="33"/>
      <c r="C40" s="26" t="s">
        <v>1749</v>
      </c>
      <c r="D40" s="54" t="str" cm="1">
        <f t="array" ref="D40">_xlfn.XLOOKUP(Table1[[#This Row],[Organisation Name
(Select in the dropdown list)]],Table18[[#All],[Organization]],Table18[[#All],[Acronym]],"",0)</f>
        <v/>
      </c>
      <c r="E40" s="26"/>
      <c r="F40" s="26"/>
      <c r="G40" s="26"/>
      <c r="H40" s="27"/>
      <c r="I40" s="27"/>
      <c r="J40" s="27"/>
      <c r="K40" s="27"/>
      <c r="L40" s="27"/>
      <c r="M40" s="27"/>
      <c r="N40" s="27"/>
      <c r="O40" s="27"/>
      <c r="P40" s="27"/>
      <c r="Q40" s="27"/>
      <c r="R40" s="28"/>
      <c r="S40" s="28"/>
      <c r="T40" s="28"/>
      <c r="U40" s="29" t="str">
        <f>IFERROR(VLOOKUP(Table1[[#This Row],[Activity
(Select in the dropdown list)]],Tbl_ActDet[[#All],[Activity]:[Indicators]],2,FALSE),"")</f>
        <v/>
      </c>
      <c r="V40" s="37" t="str" cm="1">
        <f t="array" ref="V40">IFERROR(INDEX(Tbl_ActDet[Units],MATCH(Table1[[#This Row],[WASH Domain
(Select in the dropdown list)]]&amp;Table1[[#This Row],[Activity
(Select in the dropdown list)]]&amp;Table1[[#This Row],[Indicators
(automatically filled)]],Tbl_ActDet[Domain]&amp;Tbl_ActDet[Activity]&amp;Tbl_ActDet[Indicators],0)),"")</f>
        <v/>
      </c>
      <c r="W40" s="37"/>
      <c r="X40" s="30"/>
      <c r="Y40" s="30"/>
      <c r="Z40" s="31"/>
      <c r="AA40" s="32"/>
      <c r="AB40" s="32"/>
      <c r="AC40" s="32"/>
      <c r="AD40" s="32"/>
      <c r="AE40" s="38">
        <f>SUM(Table1[[#This Row],['#Beneficiary
Boys]:['#Beneficiary
Women]])</f>
        <v>0</v>
      </c>
      <c r="AF40" s="44"/>
      <c r="AG40" s="44"/>
      <c r="AH40" s="45"/>
      <c r="AI40" s="43"/>
    </row>
    <row r="41" spans="1:35" x14ac:dyDescent="0.35">
      <c r="A41" s="25"/>
      <c r="B41" s="33"/>
      <c r="C41" s="26" t="s">
        <v>1749</v>
      </c>
      <c r="D41" s="54" t="str" cm="1">
        <f t="array" ref="D41">_xlfn.XLOOKUP(Table1[[#This Row],[Organisation Name
(Select in the dropdown list)]],Table18[[#All],[Organization]],Table18[[#All],[Acronym]],"",0)</f>
        <v/>
      </c>
      <c r="E41" s="26"/>
      <c r="F41" s="26"/>
      <c r="G41" s="26"/>
      <c r="H41" s="27"/>
      <c r="I41" s="27"/>
      <c r="J41" s="27"/>
      <c r="K41" s="27"/>
      <c r="L41" s="27"/>
      <c r="M41" s="27"/>
      <c r="N41" s="27"/>
      <c r="O41" s="27"/>
      <c r="P41" s="27"/>
      <c r="Q41" s="27"/>
      <c r="R41" s="28"/>
      <c r="S41" s="28"/>
      <c r="T41" s="28"/>
      <c r="U41" s="29" t="str">
        <f>IFERROR(VLOOKUP(Table1[[#This Row],[Activity
(Select in the dropdown list)]],Tbl_ActDet[[#All],[Activity]:[Indicators]],2,FALSE),"")</f>
        <v/>
      </c>
      <c r="V41" s="37" t="str" cm="1">
        <f t="array" ref="V41">IFERROR(INDEX(Tbl_ActDet[Units],MATCH(Table1[[#This Row],[WASH Domain
(Select in the dropdown list)]]&amp;Table1[[#This Row],[Activity
(Select in the dropdown list)]]&amp;Table1[[#This Row],[Indicators
(automatically filled)]],Tbl_ActDet[Domain]&amp;Tbl_ActDet[Activity]&amp;Tbl_ActDet[Indicators],0)),"")</f>
        <v/>
      </c>
      <c r="W41" s="37"/>
      <c r="X41" s="30"/>
      <c r="Y41" s="30"/>
      <c r="Z41" s="31"/>
      <c r="AA41" s="32"/>
      <c r="AB41" s="32"/>
      <c r="AC41" s="32"/>
      <c r="AD41" s="32"/>
      <c r="AE41" s="38">
        <f>SUM(Table1[[#This Row],['#Beneficiary
Boys]:['#Beneficiary
Women]])</f>
        <v>0</v>
      </c>
      <c r="AF41" s="44"/>
      <c r="AG41" s="44"/>
      <c r="AH41" s="45"/>
      <c r="AI41" s="43"/>
    </row>
    <row r="42" spans="1:35" x14ac:dyDescent="0.35">
      <c r="A42" s="25"/>
      <c r="B42" s="33"/>
      <c r="C42" s="26" t="s">
        <v>1749</v>
      </c>
      <c r="D42" s="54" t="str" cm="1">
        <f t="array" ref="D42">_xlfn.XLOOKUP(Table1[[#This Row],[Organisation Name
(Select in the dropdown list)]],Table18[[#All],[Organization]],Table18[[#All],[Acronym]],"",0)</f>
        <v/>
      </c>
      <c r="E42" s="26"/>
      <c r="F42" s="26"/>
      <c r="G42" s="26"/>
      <c r="H42" s="27"/>
      <c r="I42" s="27"/>
      <c r="J42" s="27"/>
      <c r="K42" s="27"/>
      <c r="L42" s="27"/>
      <c r="M42" s="27"/>
      <c r="N42" s="27"/>
      <c r="O42" s="27"/>
      <c r="P42" s="27"/>
      <c r="Q42" s="27"/>
      <c r="R42" s="28"/>
      <c r="S42" s="28"/>
      <c r="T42" s="28"/>
      <c r="U42" s="29" t="str">
        <f>IFERROR(VLOOKUP(Table1[[#This Row],[Activity
(Select in the dropdown list)]],Tbl_ActDet[[#All],[Activity]:[Indicators]],2,FALSE),"")</f>
        <v/>
      </c>
      <c r="V42" s="37" t="str" cm="1">
        <f t="array" ref="V42">IFERROR(INDEX(Tbl_ActDet[Units],MATCH(Table1[[#This Row],[WASH Domain
(Select in the dropdown list)]]&amp;Table1[[#This Row],[Activity
(Select in the dropdown list)]]&amp;Table1[[#This Row],[Indicators
(automatically filled)]],Tbl_ActDet[Domain]&amp;Tbl_ActDet[Activity]&amp;Tbl_ActDet[Indicators],0)),"")</f>
        <v/>
      </c>
      <c r="W42" s="37"/>
      <c r="X42" s="30"/>
      <c r="Y42" s="30"/>
      <c r="Z42" s="31"/>
      <c r="AA42" s="32"/>
      <c r="AB42" s="32"/>
      <c r="AC42" s="32"/>
      <c r="AD42" s="32"/>
      <c r="AE42" s="38">
        <f>SUM(Table1[[#This Row],['#Beneficiary
Boys]:['#Beneficiary
Women]])</f>
        <v>0</v>
      </c>
      <c r="AF42" s="44"/>
      <c r="AG42" s="44"/>
      <c r="AH42" s="45"/>
      <c r="AI42" s="43"/>
    </row>
    <row r="43" spans="1:35" x14ac:dyDescent="0.35">
      <c r="A43" s="25"/>
      <c r="B43" s="33"/>
      <c r="C43" s="26" t="s">
        <v>1749</v>
      </c>
      <c r="D43" s="54" t="str" cm="1">
        <f t="array" ref="D43">_xlfn.XLOOKUP(Table1[[#This Row],[Organisation Name
(Select in the dropdown list)]],Table18[[#All],[Organization]],Table18[[#All],[Acronym]],"",0)</f>
        <v/>
      </c>
      <c r="E43" s="26"/>
      <c r="F43" s="26"/>
      <c r="G43" s="26"/>
      <c r="H43" s="27"/>
      <c r="I43" s="27"/>
      <c r="J43" s="27"/>
      <c r="K43" s="27"/>
      <c r="L43" s="27"/>
      <c r="M43" s="27"/>
      <c r="N43" s="27"/>
      <c r="O43" s="27"/>
      <c r="P43" s="27"/>
      <c r="Q43" s="27"/>
      <c r="R43" s="28"/>
      <c r="S43" s="28"/>
      <c r="T43" s="28"/>
      <c r="U43" s="29" t="str">
        <f>IFERROR(VLOOKUP(Table1[[#This Row],[Activity
(Select in the dropdown list)]],Tbl_ActDet[[#All],[Activity]:[Indicators]],2,FALSE),"")</f>
        <v/>
      </c>
      <c r="V43" s="37" t="str" cm="1">
        <f t="array" ref="V43">IFERROR(INDEX(Tbl_ActDet[Units],MATCH(Table1[[#This Row],[WASH Domain
(Select in the dropdown list)]]&amp;Table1[[#This Row],[Activity
(Select in the dropdown list)]]&amp;Table1[[#This Row],[Indicators
(automatically filled)]],Tbl_ActDet[Domain]&amp;Tbl_ActDet[Activity]&amp;Tbl_ActDet[Indicators],0)),"")</f>
        <v/>
      </c>
      <c r="W43" s="37"/>
      <c r="X43" s="30"/>
      <c r="Y43" s="30"/>
      <c r="Z43" s="31"/>
      <c r="AA43" s="32"/>
      <c r="AB43" s="32"/>
      <c r="AC43" s="32"/>
      <c r="AD43" s="32"/>
      <c r="AE43" s="38">
        <f>SUM(Table1[[#This Row],['#Beneficiary
Boys]:['#Beneficiary
Women]])</f>
        <v>0</v>
      </c>
      <c r="AF43" s="44"/>
      <c r="AG43" s="44"/>
      <c r="AH43" s="45"/>
      <c r="AI43" s="43"/>
    </row>
    <row r="44" spans="1:35" x14ac:dyDescent="0.35">
      <c r="A44" s="25"/>
      <c r="B44" s="33"/>
      <c r="C44" s="26" t="s">
        <v>1749</v>
      </c>
      <c r="D44" s="54" t="str" cm="1">
        <f t="array" ref="D44">_xlfn.XLOOKUP(Table1[[#This Row],[Organisation Name
(Select in the dropdown list)]],Table18[[#All],[Organization]],Table18[[#All],[Acronym]],"",0)</f>
        <v/>
      </c>
      <c r="E44" s="26"/>
      <c r="F44" s="26"/>
      <c r="G44" s="26"/>
      <c r="H44" s="27"/>
      <c r="I44" s="27"/>
      <c r="J44" s="27"/>
      <c r="K44" s="27"/>
      <c r="L44" s="27"/>
      <c r="M44" s="27"/>
      <c r="N44" s="27"/>
      <c r="O44" s="27"/>
      <c r="P44" s="27"/>
      <c r="Q44" s="27"/>
      <c r="R44" s="28"/>
      <c r="S44" s="28"/>
      <c r="T44" s="28"/>
      <c r="U44" s="29" t="str">
        <f>IFERROR(VLOOKUP(Table1[[#This Row],[Activity
(Select in the dropdown list)]],Tbl_ActDet[[#All],[Activity]:[Indicators]],2,FALSE),"")</f>
        <v/>
      </c>
      <c r="V44" s="37" t="str" cm="1">
        <f t="array" ref="V44">IFERROR(INDEX(Tbl_ActDet[Units],MATCH(Table1[[#This Row],[WASH Domain
(Select in the dropdown list)]]&amp;Table1[[#This Row],[Activity
(Select in the dropdown list)]]&amp;Table1[[#This Row],[Indicators
(automatically filled)]],Tbl_ActDet[Domain]&amp;Tbl_ActDet[Activity]&amp;Tbl_ActDet[Indicators],0)),"")</f>
        <v/>
      </c>
      <c r="W44" s="37"/>
      <c r="X44" s="30"/>
      <c r="Y44" s="30"/>
      <c r="Z44" s="31"/>
      <c r="AA44" s="32"/>
      <c r="AB44" s="32"/>
      <c r="AC44" s="32"/>
      <c r="AD44" s="32"/>
      <c r="AE44" s="38">
        <f>SUM(Table1[[#This Row],['#Beneficiary
Boys]:['#Beneficiary
Women]])</f>
        <v>0</v>
      </c>
      <c r="AF44" s="44"/>
      <c r="AG44" s="44"/>
      <c r="AH44" s="45"/>
      <c r="AI44" s="43"/>
    </row>
    <row r="45" spans="1:35" x14ac:dyDescent="0.35">
      <c r="A45" s="25"/>
      <c r="B45" s="33"/>
      <c r="C45" s="26" t="s">
        <v>1749</v>
      </c>
      <c r="D45" s="54" t="str" cm="1">
        <f t="array" ref="D45">_xlfn.XLOOKUP(Table1[[#This Row],[Organisation Name
(Select in the dropdown list)]],Table18[[#All],[Organization]],Table18[[#All],[Acronym]],"",0)</f>
        <v/>
      </c>
      <c r="E45" s="26"/>
      <c r="F45" s="26"/>
      <c r="G45" s="26"/>
      <c r="H45" s="27"/>
      <c r="I45" s="27"/>
      <c r="J45" s="27"/>
      <c r="K45" s="27"/>
      <c r="L45" s="27"/>
      <c r="M45" s="27"/>
      <c r="N45" s="27"/>
      <c r="O45" s="27"/>
      <c r="P45" s="27"/>
      <c r="Q45" s="27"/>
      <c r="R45" s="28"/>
      <c r="S45" s="28"/>
      <c r="T45" s="28"/>
      <c r="U45" s="29" t="str">
        <f>IFERROR(VLOOKUP(Table1[[#This Row],[Activity
(Select in the dropdown list)]],Tbl_ActDet[[#All],[Activity]:[Indicators]],2,FALSE),"")</f>
        <v/>
      </c>
      <c r="V45" s="37" t="str" cm="1">
        <f t="array" ref="V45">IFERROR(INDEX(Tbl_ActDet[Units],MATCH(Table1[[#This Row],[WASH Domain
(Select in the dropdown list)]]&amp;Table1[[#This Row],[Activity
(Select in the dropdown list)]]&amp;Table1[[#This Row],[Indicators
(automatically filled)]],Tbl_ActDet[Domain]&amp;Tbl_ActDet[Activity]&amp;Tbl_ActDet[Indicators],0)),"")</f>
        <v/>
      </c>
      <c r="W45" s="37"/>
      <c r="X45" s="30"/>
      <c r="Y45" s="30"/>
      <c r="Z45" s="31"/>
      <c r="AA45" s="32"/>
      <c r="AB45" s="32"/>
      <c r="AC45" s="32"/>
      <c r="AD45" s="32"/>
      <c r="AE45" s="38">
        <f>SUM(Table1[[#This Row],['#Beneficiary
Boys]:['#Beneficiary
Women]])</f>
        <v>0</v>
      </c>
      <c r="AF45" s="44"/>
      <c r="AG45" s="44"/>
      <c r="AH45" s="45"/>
      <c r="AI45" s="43"/>
    </row>
    <row r="46" spans="1:35" x14ac:dyDescent="0.35">
      <c r="A46" s="25"/>
      <c r="B46" s="33"/>
      <c r="C46" s="26" t="s">
        <v>1749</v>
      </c>
      <c r="D46" s="54" t="str" cm="1">
        <f t="array" ref="D46">_xlfn.XLOOKUP(Table1[[#This Row],[Organisation Name
(Select in the dropdown list)]],Table18[[#All],[Organization]],Table18[[#All],[Acronym]],"",0)</f>
        <v/>
      </c>
      <c r="E46" s="26"/>
      <c r="F46" s="26"/>
      <c r="G46" s="26"/>
      <c r="H46" s="27"/>
      <c r="I46" s="27"/>
      <c r="J46" s="27"/>
      <c r="K46" s="27"/>
      <c r="L46" s="27"/>
      <c r="M46" s="27"/>
      <c r="N46" s="27"/>
      <c r="O46" s="27"/>
      <c r="P46" s="27"/>
      <c r="Q46" s="27"/>
      <c r="R46" s="28"/>
      <c r="S46" s="28"/>
      <c r="T46" s="28"/>
      <c r="U46" s="29" t="str">
        <f>IFERROR(VLOOKUP(Table1[[#This Row],[Activity
(Select in the dropdown list)]],Tbl_ActDet[[#All],[Activity]:[Indicators]],2,FALSE),"")</f>
        <v/>
      </c>
      <c r="V46" s="37" t="str" cm="1">
        <f t="array" ref="V46">IFERROR(INDEX(Tbl_ActDet[Units],MATCH(Table1[[#This Row],[WASH Domain
(Select in the dropdown list)]]&amp;Table1[[#This Row],[Activity
(Select in the dropdown list)]]&amp;Table1[[#This Row],[Indicators
(automatically filled)]],Tbl_ActDet[Domain]&amp;Tbl_ActDet[Activity]&amp;Tbl_ActDet[Indicators],0)),"")</f>
        <v/>
      </c>
      <c r="W46" s="37"/>
      <c r="X46" s="30"/>
      <c r="Y46" s="30"/>
      <c r="Z46" s="31"/>
      <c r="AA46" s="32"/>
      <c r="AB46" s="32"/>
      <c r="AC46" s="32"/>
      <c r="AD46" s="32"/>
      <c r="AE46" s="38">
        <f>SUM(Table1[[#This Row],['#Beneficiary
Boys]:['#Beneficiary
Women]])</f>
        <v>0</v>
      </c>
      <c r="AF46" s="44"/>
      <c r="AG46" s="44"/>
      <c r="AH46" s="45"/>
      <c r="AI46" s="43"/>
    </row>
    <row r="47" spans="1:35" x14ac:dyDescent="0.35">
      <c r="A47" s="25"/>
      <c r="B47" s="33"/>
      <c r="C47" s="26" t="s">
        <v>1749</v>
      </c>
      <c r="D47" s="54" t="str" cm="1">
        <f t="array" ref="D47">_xlfn.XLOOKUP(Table1[[#This Row],[Organisation Name
(Select in the dropdown list)]],Table18[[#All],[Organization]],Table18[[#All],[Acronym]],"",0)</f>
        <v/>
      </c>
      <c r="E47" s="26"/>
      <c r="F47" s="26"/>
      <c r="G47" s="26"/>
      <c r="H47" s="27"/>
      <c r="I47" s="27"/>
      <c r="J47" s="27"/>
      <c r="K47" s="27"/>
      <c r="L47" s="27"/>
      <c r="M47" s="27"/>
      <c r="N47" s="27"/>
      <c r="O47" s="27"/>
      <c r="P47" s="27"/>
      <c r="Q47" s="27"/>
      <c r="R47" s="28"/>
      <c r="S47" s="28"/>
      <c r="T47" s="28"/>
      <c r="U47" s="29" t="str">
        <f>IFERROR(VLOOKUP(Table1[[#This Row],[Activity
(Select in the dropdown list)]],Tbl_ActDet[[#All],[Activity]:[Indicators]],2,FALSE),"")</f>
        <v/>
      </c>
      <c r="V47" s="37" t="str" cm="1">
        <f t="array" ref="V47">IFERROR(INDEX(Tbl_ActDet[Units],MATCH(Table1[[#This Row],[WASH Domain
(Select in the dropdown list)]]&amp;Table1[[#This Row],[Activity
(Select in the dropdown list)]]&amp;Table1[[#This Row],[Indicators
(automatically filled)]],Tbl_ActDet[Domain]&amp;Tbl_ActDet[Activity]&amp;Tbl_ActDet[Indicators],0)),"")</f>
        <v/>
      </c>
      <c r="W47" s="37"/>
      <c r="X47" s="30"/>
      <c r="Y47" s="30"/>
      <c r="Z47" s="31"/>
      <c r="AA47" s="32"/>
      <c r="AB47" s="32"/>
      <c r="AC47" s="32"/>
      <c r="AD47" s="32"/>
      <c r="AE47" s="38">
        <f>SUM(Table1[[#This Row],['#Beneficiary
Boys]:['#Beneficiary
Women]])</f>
        <v>0</v>
      </c>
      <c r="AF47" s="44"/>
      <c r="AG47" s="44"/>
      <c r="AH47" s="45"/>
      <c r="AI47" s="43"/>
    </row>
    <row r="48" spans="1:35" x14ac:dyDescent="0.35">
      <c r="A48" s="25"/>
      <c r="B48" s="33"/>
      <c r="C48" s="26" t="s">
        <v>1749</v>
      </c>
      <c r="D48" s="54" t="str" cm="1">
        <f t="array" ref="D48">_xlfn.XLOOKUP(Table1[[#This Row],[Organisation Name
(Select in the dropdown list)]],Table18[[#All],[Organization]],Table18[[#All],[Acronym]],"",0)</f>
        <v/>
      </c>
      <c r="E48" s="26"/>
      <c r="F48" s="26"/>
      <c r="G48" s="26"/>
      <c r="H48" s="27"/>
      <c r="I48" s="27"/>
      <c r="J48" s="27"/>
      <c r="K48" s="27"/>
      <c r="L48" s="27"/>
      <c r="M48" s="27"/>
      <c r="N48" s="27"/>
      <c r="O48" s="27"/>
      <c r="P48" s="27"/>
      <c r="Q48" s="27"/>
      <c r="R48" s="28"/>
      <c r="S48" s="28"/>
      <c r="T48" s="28"/>
      <c r="U48" s="29" t="str">
        <f>IFERROR(VLOOKUP(Table1[[#This Row],[Activity
(Select in the dropdown list)]],Tbl_ActDet[[#All],[Activity]:[Indicators]],2,FALSE),"")</f>
        <v/>
      </c>
      <c r="V48" s="37" t="str" cm="1">
        <f t="array" ref="V48">IFERROR(INDEX(Tbl_ActDet[Units],MATCH(Table1[[#This Row],[WASH Domain
(Select in the dropdown list)]]&amp;Table1[[#This Row],[Activity
(Select in the dropdown list)]]&amp;Table1[[#This Row],[Indicators
(automatically filled)]],Tbl_ActDet[Domain]&amp;Tbl_ActDet[Activity]&amp;Tbl_ActDet[Indicators],0)),"")</f>
        <v/>
      </c>
      <c r="W48" s="37"/>
      <c r="X48" s="30"/>
      <c r="Y48" s="30"/>
      <c r="Z48" s="31"/>
      <c r="AA48" s="32"/>
      <c r="AB48" s="32"/>
      <c r="AC48" s="32"/>
      <c r="AD48" s="32"/>
      <c r="AE48" s="38">
        <f>SUM(Table1[[#This Row],['#Beneficiary
Boys]:['#Beneficiary
Women]])</f>
        <v>0</v>
      </c>
      <c r="AF48" s="44"/>
      <c r="AG48" s="44"/>
      <c r="AH48" s="45"/>
      <c r="AI48" s="43"/>
    </row>
    <row r="49" spans="1:35" x14ac:dyDescent="0.35">
      <c r="A49" s="25"/>
      <c r="B49" s="33"/>
      <c r="C49" s="26" t="s">
        <v>1749</v>
      </c>
      <c r="D49" s="54" t="str" cm="1">
        <f t="array" ref="D49">_xlfn.XLOOKUP(Table1[[#This Row],[Organisation Name
(Select in the dropdown list)]],Table18[[#All],[Organization]],Table18[[#All],[Acronym]],"",0)</f>
        <v/>
      </c>
      <c r="E49" s="26"/>
      <c r="F49" s="26"/>
      <c r="G49" s="26"/>
      <c r="H49" s="27"/>
      <c r="I49" s="27"/>
      <c r="J49" s="27"/>
      <c r="K49" s="27"/>
      <c r="L49" s="27"/>
      <c r="M49" s="27"/>
      <c r="N49" s="27"/>
      <c r="O49" s="27"/>
      <c r="P49" s="27"/>
      <c r="Q49" s="27"/>
      <c r="R49" s="28"/>
      <c r="S49" s="28"/>
      <c r="T49" s="28"/>
      <c r="U49" s="29" t="str">
        <f>IFERROR(VLOOKUP(Table1[[#This Row],[Activity
(Select in the dropdown list)]],Tbl_ActDet[[#All],[Activity]:[Indicators]],2,FALSE),"")</f>
        <v/>
      </c>
      <c r="V49" s="37" t="str" cm="1">
        <f t="array" ref="V49">IFERROR(INDEX(Tbl_ActDet[Units],MATCH(Table1[[#This Row],[WASH Domain
(Select in the dropdown list)]]&amp;Table1[[#This Row],[Activity
(Select in the dropdown list)]]&amp;Table1[[#This Row],[Indicators
(automatically filled)]],Tbl_ActDet[Domain]&amp;Tbl_ActDet[Activity]&amp;Tbl_ActDet[Indicators],0)),"")</f>
        <v/>
      </c>
      <c r="W49" s="37"/>
      <c r="X49" s="30"/>
      <c r="Y49" s="30"/>
      <c r="Z49" s="31"/>
      <c r="AA49" s="32"/>
      <c r="AB49" s="32"/>
      <c r="AC49" s="32"/>
      <c r="AD49" s="32"/>
      <c r="AE49" s="38">
        <f>SUM(Table1[[#This Row],['#Beneficiary
Boys]:['#Beneficiary
Women]])</f>
        <v>0</v>
      </c>
      <c r="AF49" s="44"/>
      <c r="AG49" s="44"/>
      <c r="AH49" s="45"/>
      <c r="AI49" s="43"/>
    </row>
    <row r="50" spans="1:35" x14ac:dyDescent="0.35">
      <c r="A50" s="25"/>
      <c r="B50" s="33"/>
      <c r="C50" s="26" t="s">
        <v>1749</v>
      </c>
      <c r="D50" s="54" t="str" cm="1">
        <f t="array" ref="D50">_xlfn.XLOOKUP(Table1[[#This Row],[Organisation Name
(Select in the dropdown list)]],Table18[[#All],[Organization]],Table18[[#All],[Acronym]],"",0)</f>
        <v/>
      </c>
      <c r="E50" s="26"/>
      <c r="F50" s="26"/>
      <c r="G50" s="26"/>
      <c r="H50" s="27"/>
      <c r="I50" s="27"/>
      <c r="J50" s="27"/>
      <c r="K50" s="27"/>
      <c r="L50" s="27"/>
      <c r="M50" s="27"/>
      <c r="N50" s="27"/>
      <c r="O50" s="27"/>
      <c r="P50" s="27"/>
      <c r="Q50" s="27"/>
      <c r="R50" s="28"/>
      <c r="S50" s="28"/>
      <c r="T50" s="28"/>
      <c r="U50" s="29" t="str">
        <f>IFERROR(VLOOKUP(Table1[[#This Row],[Activity
(Select in the dropdown list)]],Tbl_ActDet[[#All],[Activity]:[Indicators]],2,FALSE),"")</f>
        <v/>
      </c>
      <c r="V50" s="37" t="str" cm="1">
        <f t="array" ref="V50">IFERROR(INDEX(Tbl_ActDet[Units],MATCH(Table1[[#This Row],[WASH Domain
(Select in the dropdown list)]]&amp;Table1[[#This Row],[Activity
(Select in the dropdown list)]]&amp;Table1[[#This Row],[Indicators
(automatically filled)]],Tbl_ActDet[Domain]&amp;Tbl_ActDet[Activity]&amp;Tbl_ActDet[Indicators],0)),"")</f>
        <v/>
      </c>
      <c r="W50" s="37"/>
      <c r="X50" s="30"/>
      <c r="Y50" s="30"/>
      <c r="Z50" s="31"/>
      <c r="AA50" s="32"/>
      <c r="AB50" s="32"/>
      <c r="AC50" s="32"/>
      <c r="AD50" s="32"/>
      <c r="AE50" s="38">
        <f>SUM(Table1[[#This Row],['#Beneficiary
Boys]:['#Beneficiary
Women]])</f>
        <v>0</v>
      </c>
      <c r="AF50" s="44"/>
      <c r="AG50" s="44"/>
      <c r="AH50" s="45"/>
      <c r="AI50" s="43"/>
    </row>
    <row r="51" spans="1:35" x14ac:dyDescent="0.35">
      <c r="A51" s="25"/>
      <c r="B51" s="33"/>
      <c r="C51" s="26" t="s">
        <v>1749</v>
      </c>
      <c r="D51" s="54" t="str" cm="1">
        <f t="array" ref="D51">_xlfn.XLOOKUP(Table1[[#This Row],[Organisation Name
(Select in the dropdown list)]],Table18[[#All],[Organization]],Table18[[#All],[Acronym]],"",0)</f>
        <v/>
      </c>
      <c r="E51" s="26"/>
      <c r="F51" s="26"/>
      <c r="G51" s="26"/>
      <c r="H51" s="27"/>
      <c r="I51" s="27"/>
      <c r="J51" s="27"/>
      <c r="K51" s="27"/>
      <c r="L51" s="27"/>
      <c r="M51" s="27"/>
      <c r="N51" s="27"/>
      <c r="O51" s="27"/>
      <c r="P51" s="27"/>
      <c r="Q51" s="27"/>
      <c r="R51" s="28"/>
      <c r="S51" s="28"/>
      <c r="T51" s="28"/>
      <c r="U51" s="29" t="str">
        <f>IFERROR(VLOOKUP(Table1[[#This Row],[Activity
(Select in the dropdown list)]],Tbl_ActDet[[#All],[Activity]:[Indicators]],2,FALSE),"")</f>
        <v/>
      </c>
      <c r="V51" s="37" t="str" cm="1">
        <f t="array" ref="V51">IFERROR(INDEX(Tbl_ActDet[Units],MATCH(Table1[[#This Row],[WASH Domain
(Select in the dropdown list)]]&amp;Table1[[#This Row],[Activity
(Select in the dropdown list)]]&amp;Table1[[#This Row],[Indicators
(automatically filled)]],Tbl_ActDet[Domain]&amp;Tbl_ActDet[Activity]&amp;Tbl_ActDet[Indicators],0)),"")</f>
        <v/>
      </c>
      <c r="W51" s="37"/>
      <c r="X51" s="30"/>
      <c r="Y51" s="30"/>
      <c r="Z51" s="31"/>
      <c r="AA51" s="32"/>
      <c r="AB51" s="32"/>
      <c r="AC51" s="32"/>
      <c r="AD51" s="32"/>
      <c r="AE51" s="38">
        <f>SUM(Table1[[#This Row],['#Beneficiary
Boys]:['#Beneficiary
Women]])</f>
        <v>0</v>
      </c>
      <c r="AF51" s="44"/>
      <c r="AG51" s="44"/>
      <c r="AH51" s="45"/>
      <c r="AI51" s="43"/>
    </row>
    <row r="52" spans="1:35" x14ac:dyDescent="0.35">
      <c r="A52" s="25"/>
      <c r="B52" s="33"/>
      <c r="C52" s="26" t="s">
        <v>1749</v>
      </c>
      <c r="D52" s="54" t="str" cm="1">
        <f t="array" ref="D52">_xlfn.XLOOKUP(Table1[[#This Row],[Organisation Name
(Select in the dropdown list)]],Table18[[#All],[Organization]],Table18[[#All],[Acronym]],"",0)</f>
        <v/>
      </c>
      <c r="E52" s="26"/>
      <c r="F52" s="26"/>
      <c r="G52" s="26"/>
      <c r="H52" s="27"/>
      <c r="I52" s="27"/>
      <c r="J52" s="27"/>
      <c r="K52" s="27"/>
      <c r="L52" s="27"/>
      <c r="M52" s="27"/>
      <c r="N52" s="27"/>
      <c r="O52" s="27"/>
      <c r="P52" s="27"/>
      <c r="Q52" s="27"/>
      <c r="R52" s="28"/>
      <c r="S52" s="28"/>
      <c r="T52" s="28"/>
      <c r="U52" s="29" t="str">
        <f>IFERROR(VLOOKUP(Table1[[#This Row],[Activity
(Select in the dropdown list)]],Tbl_ActDet[[#All],[Activity]:[Indicators]],2,FALSE),"")</f>
        <v/>
      </c>
      <c r="V52" s="37" t="str" cm="1">
        <f t="array" ref="V52">IFERROR(INDEX(Tbl_ActDet[Units],MATCH(Table1[[#This Row],[WASH Domain
(Select in the dropdown list)]]&amp;Table1[[#This Row],[Activity
(Select in the dropdown list)]]&amp;Table1[[#This Row],[Indicators
(automatically filled)]],Tbl_ActDet[Domain]&amp;Tbl_ActDet[Activity]&amp;Tbl_ActDet[Indicators],0)),"")</f>
        <v/>
      </c>
      <c r="W52" s="37"/>
      <c r="X52" s="30"/>
      <c r="Y52" s="30"/>
      <c r="Z52" s="31"/>
      <c r="AA52" s="32"/>
      <c r="AB52" s="32"/>
      <c r="AC52" s="32"/>
      <c r="AD52" s="32"/>
      <c r="AE52" s="38">
        <f>SUM(Table1[[#This Row],['#Beneficiary
Boys]:['#Beneficiary
Women]])</f>
        <v>0</v>
      </c>
      <c r="AF52" s="44"/>
      <c r="AG52" s="44"/>
      <c r="AH52" s="45"/>
      <c r="AI52" s="43"/>
    </row>
    <row r="53" spans="1:35" x14ac:dyDescent="0.35">
      <c r="A53" s="25"/>
      <c r="B53" s="33"/>
      <c r="C53" s="26" t="s">
        <v>1749</v>
      </c>
      <c r="D53" s="54" t="str" cm="1">
        <f t="array" ref="D53">_xlfn.XLOOKUP(Table1[[#This Row],[Organisation Name
(Select in the dropdown list)]],Table18[[#All],[Organization]],Table18[[#All],[Acronym]],"",0)</f>
        <v/>
      </c>
      <c r="E53" s="26"/>
      <c r="F53" s="26"/>
      <c r="G53" s="26"/>
      <c r="H53" s="27"/>
      <c r="I53" s="27"/>
      <c r="J53" s="27"/>
      <c r="K53" s="27"/>
      <c r="L53" s="27"/>
      <c r="M53" s="27"/>
      <c r="N53" s="27"/>
      <c r="O53" s="27"/>
      <c r="P53" s="27"/>
      <c r="Q53" s="27"/>
      <c r="R53" s="28"/>
      <c r="S53" s="28"/>
      <c r="T53" s="28"/>
      <c r="U53" s="29" t="str">
        <f>IFERROR(VLOOKUP(Table1[[#This Row],[Activity
(Select in the dropdown list)]],Tbl_ActDet[[#All],[Activity]:[Indicators]],2,FALSE),"")</f>
        <v/>
      </c>
      <c r="V53" s="37" t="str" cm="1">
        <f t="array" ref="V53">IFERROR(INDEX(Tbl_ActDet[Units],MATCH(Table1[[#This Row],[WASH Domain
(Select in the dropdown list)]]&amp;Table1[[#This Row],[Activity
(Select in the dropdown list)]]&amp;Table1[[#This Row],[Indicators
(automatically filled)]],Tbl_ActDet[Domain]&amp;Tbl_ActDet[Activity]&amp;Tbl_ActDet[Indicators],0)),"")</f>
        <v/>
      </c>
      <c r="W53" s="37"/>
      <c r="X53" s="30"/>
      <c r="Y53" s="30"/>
      <c r="Z53" s="31"/>
      <c r="AA53" s="32"/>
      <c r="AB53" s="32"/>
      <c r="AC53" s="32"/>
      <c r="AD53" s="32"/>
      <c r="AE53" s="38">
        <f>SUM(Table1[[#This Row],['#Beneficiary
Boys]:['#Beneficiary
Women]])</f>
        <v>0</v>
      </c>
      <c r="AF53" s="44"/>
      <c r="AG53" s="44"/>
      <c r="AH53" s="45"/>
      <c r="AI53" s="43"/>
    </row>
    <row r="54" spans="1:35" x14ac:dyDescent="0.35">
      <c r="A54" s="25"/>
      <c r="B54" s="33"/>
      <c r="C54" s="26" t="s">
        <v>1749</v>
      </c>
      <c r="D54" s="54" t="str" cm="1">
        <f t="array" ref="D54">_xlfn.XLOOKUP(Table1[[#This Row],[Organisation Name
(Select in the dropdown list)]],Table18[[#All],[Organization]],Table18[[#All],[Acronym]],"",0)</f>
        <v/>
      </c>
      <c r="E54" s="26"/>
      <c r="F54" s="26"/>
      <c r="G54" s="26"/>
      <c r="H54" s="27"/>
      <c r="I54" s="27"/>
      <c r="J54" s="27"/>
      <c r="K54" s="27"/>
      <c r="L54" s="27"/>
      <c r="M54" s="27"/>
      <c r="N54" s="27"/>
      <c r="O54" s="27"/>
      <c r="P54" s="27"/>
      <c r="Q54" s="27"/>
      <c r="R54" s="28"/>
      <c r="S54" s="28"/>
      <c r="T54" s="28"/>
      <c r="U54" s="29" t="str">
        <f>IFERROR(VLOOKUP(Table1[[#This Row],[Activity
(Select in the dropdown list)]],Tbl_ActDet[[#All],[Activity]:[Indicators]],2,FALSE),"")</f>
        <v/>
      </c>
      <c r="V54" s="37" t="str" cm="1">
        <f t="array" ref="V54">IFERROR(INDEX(Tbl_ActDet[Units],MATCH(Table1[[#This Row],[WASH Domain
(Select in the dropdown list)]]&amp;Table1[[#This Row],[Activity
(Select in the dropdown list)]]&amp;Table1[[#This Row],[Indicators
(automatically filled)]],Tbl_ActDet[Domain]&amp;Tbl_ActDet[Activity]&amp;Tbl_ActDet[Indicators],0)),"")</f>
        <v/>
      </c>
      <c r="W54" s="37"/>
      <c r="X54" s="30"/>
      <c r="Y54" s="30"/>
      <c r="Z54" s="31"/>
      <c r="AA54" s="32"/>
      <c r="AB54" s="32"/>
      <c r="AC54" s="32"/>
      <c r="AD54" s="32"/>
      <c r="AE54" s="38">
        <f>SUM(Table1[[#This Row],['#Beneficiary
Boys]:['#Beneficiary
Women]])</f>
        <v>0</v>
      </c>
      <c r="AF54" s="44"/>
      <c r="AG54" s="44"/>
      <c r="AH54" s="45"/>
      <c r="AI54" s="43"/>
    </row>
    <row r="55" spans="1:35" x14ac:dyDescent="0.35">
      <c r="A55" s="25"/>
      <c r="B55" s="33"/>
      <c r="C55" s="26" t="s">
        <v>1749</v>
      </c>
      <c r="D55" s="54" t="str" cm="1">
        <f t="array" ref="D55">_xlfn.XLOOKUP(Table1[[#This Row],[Organisation Name
(Select in the dropdown list)]],Table18[[#All],[Organization]],Table18[[#All],[Acronym]],"",0)</f>
        <v/>
      </c>
      <c r="E55" s="26"/>
      <c r="F55" s="26"/>
      <c r="G55" s="26"/>
      <c r="H55" s="27"/>
      <c r="I55" s="27"/>
      <c r="J55" s="27"/>
      <c r="K55" s="27"/>
      <c r="L55" s="27"/>
      <c r="M55" s="27"/>
      <c r="N55" s="27"/>
      <c r="O55" s="27"/>
      <c r="P55" s="27"/>
      <c r="Q55" s="27"/>
      <c r="R55" s="28"/>
      <c r="S55" s="28"/>
      <c r="T55" s="28"/>
      <c r="U55" s="29" t="str">
        <f>IFERROR(VLOOKUP(Table1[[#This Row],[Activity
(Select in the dropdown list)]],Tbl_ActDet[[#All],[Activity]:[Indicators]],2,FALSE),"")</f>
        <v/>
      </c>
      <c r="V55" s="37" t="str" cm="1">
        <f t="array" ref="V55">IFERROR(INDEX(Tbl_ActDet[Units],MATCH(Table1[[#This Row],[WASH Domain
(Select in the dropdown list)]]&amp;Table1[[#This Row],[Activity
(Select in the dropdown list)]]&amp;Table1[[#This Row],[Indicators
(automatically filled)]],Tbl_ActDet[Domain]&amp;Tbl_ActDet[Activity]&amp;Tbl_ActDet[Indicators],0)),"")</f>
        <v/>
      </c>
      <c r="W55" s="37"/>
      <c r="X55" s="30"/>
      <c r="Y55" s="30"/>
      <c r="Z55" s="31"/>
      <c r="AA55" s="32"/>
      <c r="AB55" s="32"/>
      <c r="AC55" s="32"/>
      <c r="AD55" s="32"/>
      <c r="AE55" s="38">
        <f>SUM(Table1[[#This Row],['#Beneficiary
Boys]:['#Beneficiary
Women]])</f>
        <v>0</v>
      </c>
      <c r="AF55" s="44"/>
      <c r="AG55" s="44"/>
      <c r="AH55" s="45"/>
      <c r="AI55" s="43"/>
    </row>
    <row r="56" spans="1:35" x14ac:dyDescent="0.35">
      <c r="A56" s="25"/>
      <c r="B56" s="33"/>
      <c r="C56" s="26" t="s">
        <v>1749</v>
      </c>
      <c r="D56" s="54" t="str" cm="1">
        <f t="array" ref="D56">_xlfn.XLOOKUP(Table1[[#This Row],[Organisation Name
(Select in the dropdown list)]],Table18[[#All],[Organization]],Table18[[#All],[Acronym]],"",0)</f>
        <v/>
      </c>
      <c r="E56" s="26"/>
      <c r="F56" s="26"/>
      <c r="G56" s="26"/>
      <c r="H56" s="27"/>
      <c r="I56" s="27"/>
      <c r="J56" s="27"/>
      <c r="K56" s="27"/>
      <c r="L56" s="27"/>
      <c r="M56" s="27"/>
      <c r="N56" s="27"/>
      <c r="O56" s="27"/>
      <c r="P56" s="27"/>
      <c r="Q56" s="27"/>
      <c r="R56" s="28"/>
      <c r="S56" s="28"/>
      <c r="T56" s="28"/>
      <c r="U56" s="29" t="str">
        <f>IFERROR(VLOOKUP(Table1[[#This Row],[Activity
(Select in the dropdown list)]],Tbl_ActDet[[#All],[Activity]:[Indicators]],2,FALSE),"")</f>
        <v/>
      </c>
      <c r="V56" s="37" t="str" cm="1">
        <f t="array" ref="V56">IFERROR(INDEX(Tbl_ActDet[Units],MATCH(Table1[[#This Row],[WASH Domain
(Select in the dropdown list)]]&amp;Table1[[#This Row],[Activity
(Select in the dropdown list)]]&amp;Table1[[#This Row],[Indicators
(automatically filled)]],Tbl_ActDet[Domain]&amp;Tbl_ActDet[Activity]&amp;Tbl_ActDet[Indicators],0)),"")</f>
        <v/>
      </c>
      <c r="W56" s="37"/>
      <c r="X56" s="30"/>
      <c r="Y56" s="30"/>
      <c r="Z56" s="31"/>
      <c r="AA56" s="32"/>
      <c r="AB56" s="32"/>
      <c r="AC56" s="32"/>
      <c r="AD56" s="32"/>
      <c r="AE56" s="38">
        <f>SUM(Table1[[#This Row],['#Beneficiary
Boys]:['#Beneficiary
Women]])</f>
        <v>0</v>
      </c>
      <c r="AF56" s="44"/>
      <c r="AG56" s="44"/>
      <c r="AH56" s="45"/>
      <c r="AI56" s="43"/>
    </row>
    <row r="57" spans="1:35" x14ac:dyDescent="0.35">
      <c r="A57" s="25"/>
      <c r="B57" s="33"/>
      <c r="C57" s="26" t="s">
        <v>1749</v>
      </c>
      <c r="D57" s="54" t="str" cm="1">
        <f t="array" ref="D57">_xlfn.XLOOKUP(Table1[[#This Row],[Organisation Name
(Select in the dropdown list)]],Table18[[#All],[Organization]],Table18[[#All],[Acronym]],"",0)</f>
        <v/>
      </c>
      <c r="E57" s="26"/>
      <c r="F57" s="26"/>
      <c r="G57" s="26"/>
      <c r="H57" s="27"/>
      <c r="I57" s="27"/>
      <c r="J57" s="27"/>
      <c r="K57" s="27"/>
      <c r="L57" s="27"/>
      <c r="M57" s="27"/>
      <c r="N57" s="27"/>
      <c r="O57" s="27"/>
      <c r="P57" s="27"/>
      <c r="Q57" s="27"/>
      <c r="R57" s="28"/>
      <c r="S57" s="28"/>
      <c r="T57" s="28"/>
      <c r="U57" s="29" t="str">
        <f>IFERROR(VLOOKUP(Table1[[#This Row],[Activity
(Select in the dropdown list)]],Tbl_ActDet[[#All],[Activity]:[Indicators]],2,FALSE),"")</f>
        <v/>
      </c>
      <c r="V57" s="37" t="str" cm="1">
        <f t="array" ref="V57">IFERROR(INDEX(Tbl_ActDet[Units],MATCH(Table1[[#This Row],[WASH Domain
(Select in the dropdown list)]]&amp;Table1[[#This Row],[Activity
(Select in the dropdown list)]]&amp;Table1[[#This Row],[Indicators
(automatically filled)]],Tbl_ActDet[Domain]&amp;Tbl_ActDet[Activity]&amp;Tbl_ActDet[Indicators],0)),"")</f>
        <v/>
      </c>
      <c r="W57" s="37"/>
      <c r="X57" s="30"/>
      <c r="Y57" s="30"/>
      <c r="Z57" s="31"/>
      <c r="AA57" s="32"/>
      <c r="AB57" s="32"/>
      <c r="AC57" s="32"/>
      <c r="AD57" s="32"/>
      <c r="AE57" s="38">
        <f>SUM(Table1[[#This Row],['#Beneficiary
Boys]:['#Beneficiary
Women]])</f>
        <v>0</v>
      </c>
      <c r="AF57" s="44"/>
      <c r="AG57" s="44"/>
      <c r="AH57" s="45"/>
      <c r="AI57" s="43"/>
    </row>
    <row r="58" spans="1:35" x14ac:dyDescent="0.35">
      <c r="A58" s="25"/>
      <c r="B58" s="33"/>
      <c r="C58" s="26" t="s">
        <v>1749</v>
      </c>
      <c r="D58" s="54" t="str" cm="1">
        <f t="array" ref="D58">_xlfn.XLOOKUP(Table1[[#This Row],[Organisation Name
(Select in the dropdown list)]],Table18[[#All],[Organization]],Table18[[#All],[Acronym]],"",0)</f>
        <v/>
      </c>
      <c r="E58" s="26"/>
      <c r="F58" s="26"/>
      <c r="G58" s="26"/>
      <c r="H58" s="27"/>
      <c r="I58" s="27"/>
      <c r="J58" s="27"/>
      <c r="K58" s="27"/>
      <c r="L58" s="27"/>
      <c r="M58" s="27"/>
      <c r="N58" s="27"/>
      <c r="O58" s="27"/>
      <c r="P58" s="27"/>
      <c r="Q58" s="27"/>
      <c r="R58" s="28"/>
      <c r="S58" s="28"/>
      <c r="T58" s="28"/>
      <c r="U58" s="29" t="str">
        <f>IFERROR(VLOOKUP(Table1[[#This Row],[Activity
(Select in the dropdown list)]],Tbl_ActDet[[#All],[Activity]:[Indicators]],2,FALSE),"")</f>
        <v/>
      </c>
      <c r="V58" s="37" t="str" cm="1">
        <f t="array" ref="V58">IFERROR(INDEX(Tbl_ActDet[Units],MATCH(Table1[[#This Row],[WASH Domain
(Select in the dropdown list)]]&amp;Table1[[#This Row],[Activity
(Select in the dropdown list)]]&amp;Table1[[#This Row],[Indicators
(automatically filled)]],Tbl_ActDet[Domain]&amp;Tbl_ActDet[Activity]&amp;Tbl_ActDet[Indicators],0)),"")</f>
        <v/>
      </c>
      <c r="W58" s="37"/>
      <c r="X58" s="30"/>
      <c r="Y58" s="30"/>
      <c r="Z58" s="31"/>
      <c r="AA58" s="32"/>
      <c r="AB58" s="32"/>
      <c r="AC58" s="32"/>
      <c r="AD58" s="32"/>
      <c r="AE58" s="38">
        <f>SUM(Table1[[#This Row],['#Beneficiary
Boys]:['#Beneficiary
Women]])</f>
        <v>0</v>
      </c>
      <c r="AF58" s="44"/>
      <c r="AG58" s="44"/>
      <c r="AH58" s="45"/>
      <c r="AI58" s="43"/>
    </row>
    <row r="59" spans="1:35" x14ac:dyDescent="0.35">
      <c r="A59" s="25"/>
      <c r="B59" s="33"/>
      <c r="C59" s="26" t="s">
        <v>1749</v>
      </c>
      <c r="D59" s="54" t="str" cm="1">
        <f t="array" ref="D59">_xlfn.XLOOKUP(Table1[[#This Row],[Organisation Name
(Select in the dropdown list)]],Table18[[#All],[Organization]],Table18[[#All],[Acronym]],"",0)</f>
        <v/>
      </c>
      <c r="E59" s="26"/>
      <c r="F59" s="26"/>
      <c r="G59" s="26"/>
      <c r="H59" s="27"/>
      <c r="I59" s="27"/>
      <c r="J59" s="27"/>
      <c r="K59" s="27"/>
      <c r="L59" s="27"/>
      <c r="M59" s="27"/>
      <c r="N59" s="27"/>
      <c r="O59" s="27"/>
      <c r="P59" s="27"/>
      <c r="Q59" s="27"/>
      <c r="R59" s="28"/>
      <c r="S59" s="28"/>
      <c r="T59" s="28"/>
      <c r="U59" s="29" t="str">
        <f>IFERROR(VLOOKUP(Table1[[#This Row],[Activity
(Select in the dropdown list)]],Tbl_ActDet[[#All],[Activity]:[Indicators]],2,FALSE),"")</f>
        <v/>
      </c>
      <c r="V59" s="37" t="str" cm="1">
        <f t="array" ref="V59">IFERROR(INDEX(Tbl_ActDet[Units],MATCH(Table1[[#This Row],[WASH Domain
(Select in the dropdown list)]]&amp;Table1[[#This Row],[Activity
(Select in the dropdown list)]]&amp;Table1[[#This Row],[Indicators
(automatically filled)]],Tbl_ActDet[Domain]&amp;Tbl_ActDet[Activity]&amp;Tbl_ActDet[Indicators],0)),"")</f>
        <v/>
      </c>
      <c r="W59" s="37"/>
      <c r="X59" s="30"/>
      <c r="Y59" s="30"/>
      <c r="Z59" s="31"/>
      <c r="AA59" s="32"/>
      <c r="AB59" s="32"/>
      <c r="AC59" s="32"/>
      <c r="AD59" s="32"/>
      <c r="AE59" s="38">
        <f>SUM(Table1[[#This Row],['#Beneficiary
Boys]:['#Beneficiary
Women]])</f>
        <v>0</v>
      </c>
      <c r="AF59" s="44"/>
      <c r="AG59" s="44"/>
      <c r="AH59" s="45"/>
      <c r="AI59" s="43"/>
    </row>
    <row r="60" spans="1:35" x14ac:dyDescent="0.35">
      <c r="A60" s="25"/>
      <c r="B60" s="33"/>
      <c r="C60" s="26"/>
      <c r="D60" s="54" t="str" cm="1">
        <f t="array" ref="D60">_xlfn.XLOOKUP(Table1[[#This Row],[Organisation Name
(Select in the dropdown list)]],Table18[[#All],[Organization]],Table18[[#All],[Acronym]],"",0)</f>
        <v/>
      </c>
      <c r="E60" s="26"/>
      <c r="F60" s="26"/>
      <c r="G60" s="26"/>
      <c r="H60" s="27"/>
      <c r="I60" s="27"/>
      <c r="J60" s="27"/>
      <c r="K60" s="27"/>
      <c r="L60" s="27"/>
      <c r="M60" s="27"/>
      <c r="N60" s="27"/>
      <c r="O60" s="27"/>
      <c r="P60" s="27"/>
      <c r="Q60" s="27"/>
      <c r="R60" s="28"/>
      <c r="S60" s="28"/>
      <c r="T60" s="28"/>
      <c r="U60" s="29" t="str">
        <f>IFERROR(VLOOKUP(Table1[[#This Row],[Activity
(Select in the dropdown list)]],Tbl_ActDet[[#All],[Activity]:[Indicators]],2,FALSE),"")</f>
        <v/>
      </c>
      <c r="V60" s="37" t="str" cm="1">
        <f t="array" ref="V60">IFERROR(INDEX(Tbl_ActDet[Units],MATCH(Table1[[#This Row],[WASH Domain
(Select in the dropdown list)]]&amp;Table1[[#This Row],[Activity
(Select in the dropdown list)]]&amp;Table1[[#This Row],[Indicators
(automatically filled)]],Tbl_ActDet[Domain]&amp;Tbl_ActDet[Activity]&amp;Tbl_ActDet[Indicators],0)),"")</f>
        <v/>
      </c>
      <c r="W60" s="37"/>
      <c r="X60" s="30"/>
      <c r="Y60" s="30"/>
      <c r="Z60" s="31"/>
      <c r="AA60" s="32"/>
      <c r="AB60" s="32"/>
      <c r="AC60" s="32"/>
      <c r="AD60" s="32"/>
      <c r="AE60" s="38">
        <f>SUM(Table1[[#This Row],['#Beneficiary
Boys]:['#Beneficiary
Women]])</f>
        <v>0</v>
      </c>
      <c r="AF60" s="44"/>
      <c r="AG60" s="44"/>
      <c r="AH60" s="45"/>
      <c r="AI60" s="43"/>
    </row>
    <row r="61" spans="1:35" x14ac:dyDescent="0.35">
      <c r="A61" s="25"/>
      <c r="B61" s="33"/>
      <c r="C61" s="26" t="s">
        <v>1749</v>
      </c>
      <c r="D61" s="54" t="str" cm="1">
        <f t="array" ref="D61">_xlfn.XLOOKUP(Table1[[#This Row],[Organisation Name
(Select in the dropdown list)]],Table18[[#All],[Organization]],Table18[[#All],[Acronym]],"",0)</f>
        <v/>
      </c>
      <c r="E61" s="26"/>
      <c r="F61" s="26"/>
      <c r="G61" s="26"/>
      <c r="H61" s="27"/>
      <c r="I61" s="27"/>
      <c r="J61" s="27"/>
      <c r="K61" s="27"/>
      <c r="L61" s="27"/>
      <c r="M61" s="27"/>
      <c r="N61" s="27"/>
      <c r="O61" s="27"/>
      <c r="P61" s="27"/>
      <c r="Q61" s="27"/>
      <c r="R61" s="28"/>
      <c r="S61" s="28"/>
      <c r="T61" s="28"/>
      <c r="U61" s="29" t="str">
        <f>IFERROR(VLOOKUP(Table1[[#This Row],[Activity
(Select in the dropdown list)]],Tbl_ActDet[[#All],[Activity]:[Indicators]],2,FALSE),"")</f>
        <v/>
      </c>
      <c r="V61" s="37" t="str" cm="1">
        <f t="array" ref="V61">IFERROR(INDEX(Tbl_ActDet[Units],MATCH(Table1[[#This Row],[WASH Domain
(Select in the dropdown list)]]&amp;Table1[[#This Row],[Activity
(Select in the dropdown list)]]&amp;Table1[[#This Row],[Indicators
(automatically filled)]],Tbl_ActDet[Domain]&amp;Tbl_ActDet[Activity]&amp;Tbl_ActDet[Indicators],0)),"")</f>
        <v/>
      </c>
      <c r="W61" s="37"/>
      <c r="X61" s="30"/>
      <c r="Y61" s="30"/>
      <c r="Z61" s="31"/>
      <c r="AA61" s="32"/>
      <c r="AB61" s="32"/>
      <c r="AC61" s="32"/>
      <c r="AD61" s="32"/>
      <c r="AE61" s="38">
        <f>SUM(Table1[[#This Row],['#Beneficiary
Boys]:['#Beneficiary
Women]])</f>
        <v>0</v>
      </c>
      <c r="AF61" s="44"/>
      <c r="AG61" s="44"/>
      <c r="AH61" s="45"/>
      <c r="AI61" s="43"/>
    </row>
    <row r="62" spans="1:35" x14ac:dyDescent="0.35">
      <c r="A62" s="25"/>
      <c r="B62" s="33"/>
      <c r="C62" s="26" t="s">
        <v>1749</v>
      </c>
      <c r="D62" s="54" t="str" cm="1">
        <f t="array" ref="D62">_xlfn.XLOOKUP(Table1[[#This Row],[Organisation Name
(Select in the dropdown list)]],Table18[[#All],[Organization]],Table18[[#All],[Acronym]],"",0)</f>
        <v/>
      </c>
      <c r="E62" s="26"/>
      <c r="F62" s="26"/>
      <c r="G62" s="26"/>
      <c r="H62" s="27"/>
      <c r="I62" s="27"/>
      <c r="J62" s="27"/>
      <c r="K62" s="27"/>
      <c r="L62" s="27"/>
      <c r="M62" s="27"/>
      <c r="N62" s="27"/>
      <c r="O62" s="27"/>
      <c r="P62" s="27"/>
      <c r="Q62" s="27"/>
      <c r="R62" s="28"/>
      <c r="S62" s="28"/>
      <c r="T62" s="28"/>
      <c r="U62" s="29" t="str">
        <f>IFERROR(VLOOKUP(Table1[[#This Row],[Activity
(Select in the dropdown list)]],Tbl_ActDet[[#All],[Activity]:[Indicators]],2,FALSE),"")</f>
        <v/>
      </c>
      <c r="V62" s="37" t="str" cm="1">
        <f t="array" ref="V62">IFERROR(INDEX(Tbl_ActDet[Units],MATCH(Table1[[#This Row],[WASH Domain
(Select in the dropdown list)]]&amp;Table1[[#This Row],[Activity
(Select in the dropdown list)]]&amp;Table1[[#This Row],[Indicators
(automatically filled)]],Tbl_ActDet[Domain]&amp;Tbl_ActDet[Activity]&amp;Tbl_ActDet[Indicators],0)),"")</f>
        <v/>
      </c>
      <c r="W62" s="37"/>
      <c r="X62" s="30"/>
      <c r="Y62" s="30"/>
      <c r="Z62" s="31"/>
      <c r="AA62" s="32"/>
      <c r="AB62" s="32"/>
      <c r="AC62" s="32"/>
      <c r="AD62" s="32"/>
      <c r="AE62" s="38">
        <f>SUM(Table1[[#This Row],['#Beneficiary
Boys]:['#Beneficiary
Women]])</f>
        <v>0</v>
      </c>
      <c r="AF62" s="44"/>
      <c r="AG62" s="44"/>
      <c r="AH62" s="45"/>
      <c r="AI62" s="43"/>
    </row>
    <row r="63" spans="1:35" x14ac:dyDescent="0.35">
      <c r="A63" s="25"/>
      <c r="B63" s="33"/>
      <c r="C63" s="26" t="s">
        <v>1749</v>
      </c>
      <c r="D63" s="54" t="str" cm="1">
        <f t="array" ref="D63">_xlfn.XLOOKUP(Table1[[#This Row],[Organisation Name
(Select in the dropdown list)]],Table18[[#All],[Organization]],Table18[[#All],[Acronym]],"",0)</f>
        <v/>
      </c>
      <c r="E63" s="26"/>
      <c r="F63" s="26"/>
      <c r="G63" s="26"/>
      <c r="H63" s="27"/>
      <c r="I63" s="27"/>
      <c r="J63" s="27"/>
      <c r="K63" s="27"/>
      <c r="L63" s="27"/>
      <c r="M63" s="27"/>
      <c r="N63" s="27"/>
      <c r="O63" s="27"/>
      <c r="P63" s="27"/>
      <c r="Q63" s="27"/>
      <c r="R63" s="28"/>
      <c r="S63" s="28"/>
      <c r="T63" s="28"/>
      <c r="U63" s="29" t="str">
        <f>IFERROR(VLOOKUP(Table1[[#This Row],[Activity
(Select in the dropdown list)]],Tbl_ActDet[[#All],[Activity]:[Indicators]],2,FALSE),"")</f>
        <v/>
      </c>
      <c r="V63" s="37" t="str" cm="1">
        <f t="array" ref="V63">IFERROR(INDEX(Tbl_ActDet[Units],MATCH(Table1[[#This Row],[WASH Domain
(Select in the dropdown list)]]&amp;Table1[[#This Row],[Activity
(Select in the dropdown list)]]&amp;Table1[[#This Row],[Indicators
(automatically filled)]],Tbl_ActDet[Domain]&amp;Tbl_ActDet[Activity]&amp;Tbl_ActDet[Indicators],0)),"")</f>
        <v/>
      </c>
      <c r="W63" s="37"/>
      <c r="X63" s="30"/>
      <c r="Y63" s="30"/>
      <c r="Z63" s="31"/>
      <c r="AA63" s="32"/>
      <c r="AB63" s="32"/>
      <c r="AC63" s="32"/>
      <c r="AD63" s="32"/>
      <c r="AE63" s="38">
        <f>SUM(Table1[[#This Row],['#Beneficiary
Boys]:['#Beneficiary
Women]])</f>
        <v>0</v>
      </c>
      <c r="AF63" s="44"/>
      <c r="AG63" s="44"/>
      <c r="AH63" s="45"/>
      <c r="AI63" s="43"/>
    </row>
    <row r="64" spans="1:35" x14ac:dyDescent="0.35">
      <c r="A64" s="25"/>
      <c r="B64" s="33"/>
      <c r="C64" s="26" t="s">
        <v>1749</v>
      </c>
      <c r="D64" s="54" t="str" cm="1">
        <f t="array" ref="D64">_xlfn.XLOOKUP(Table1[[#This Row],[Organisation Name
(Select in the dropdown list)]],Table18[[#All],[Organization]],Table18[[#All],[Acronym]],"",0)</f>
        <v/>
      </c>
      <c r="E64" s="26"/>
      <c r="F64" s="26"/>
      <c r="G64" s="26"/>
      <c r="H64" s="27"/>
      <c r="I64" s="27"/>
      <c r="J64" s="27"/>
      <c r="K64" s="27"/>
      <c r="L64" s="27"/>
      <c r="M64" s="27"/>
      <c r="N64" s="27"/>
      <c r="O64" s="27"/>
      <c r="P64" s="27"/>
      <c r="Q64" s="27"/>
      <c r="R64" s="28"/>
      <c r="S64" s="28"/>
      <c r="T64" s="28"/>
      <c r="U64" s="29" t="str">
        <f>IFERROR(VLOOKUP(Table1[[#This Row],[Activity
(Select in the dropdown list)]],Tbl_ActDet[[#All],[Activity]:[Indicators]],2,FALSE),"")</f>
        <v/>
      </c>
      <c r="V64" s="37" t="str" cm="1">
        <f t="array" ref="V64">IFERROR(INDEX(Tbl_ActDet[Units],MATCH(Table1[[#This Row],[WASH Domain
(Select in the dropdown list)]]&amp;Table1[[#This Row],[Activity
(Select in the dropdown list)]]&amp;Table1[[#This Row],[Indicators
(automatically filled)]],Tbl_ActDet[Domain]&amp;Tbl_ActDet[Activity]&amp;Tbl_ActDet[Indicators],0)),"")</f>
        <v/>
      </c>
      <c r="W64" s="37"/>
      <c r="X64" s="30"/>
      <c r="Y64" s="30"/>
      <c r="Z64" s="31"/>
      <c r="AA64" s="32"/>
      <c r="AB64" s="32"/>
      <c r="AC64" s="32"/>
      <c r="AD64" s="32"/>
      <c r="AE64" s="38">
        <f>SUM(Table1[[#This Row],['#Beneficiary
Boys]:['#Beneficiary
Women]])</f>
        <v>0</v>
      </c>
      <c r="AF64" s="44"/>
      <c r="AG64" s="44"/>
      <c r="AH64" s="45"/>
      <c r="AI64" s="43"/>
    </row>
    <row r="65" spans="1:35" x14ac:dyDescent="0.35">
      <c r="A65" s="25"/>
      <c r="B65" s="33"/>
      <c r="C65" s="26" t="s">
        <v>1749</v>
      </c>
      <c r="D65" s="54" t="str" cm="1">
        <f t="array" ref="D65">_xlfn.XLOOKUP(Table1[[#This Row],[Organisation Name
(Select in the dropdown list)]],Table18[[#All],[Organization]],Table18[[#All],[Acronym]],"",0)</f>
        <v/>
      </c>
      <c r="E65" s="26"/>
      <c r="F65" s="26"/>
      <c r="G65" s="26"/>
      <c r="H65" s="27"/>
      <c r="I65" s="27"/>
      <c r="J65" s="27"/>
      <c r="K65" s="27"/>
      <c r="L65" s="27"/>
      <c r="M65" s="27"/>
      <c r="N65" s="27"/>
      <c r="O65" s="27"/>
      <c r="P65" s="27"/>
      <c r="Q65" s="27"/>
      <c r="R65" s="28"/>
      <c r="S65" s="28"/>
      <c r="T65" s="28"/>
      <c r="U65" s="29" t="str">
        <f>IFERROR(VLOOKUP(Table1[[#This Row],[Activity
(Select in the dropdown list)]],Tbl_ActDet[[#All],[Activity]:[Indicators]],2,FALSE),"")</f>
        <v/>
      </c>
      <c r="V65" s="37" t="str" cm="1">
        <f t="array" ref="V65">IFERROR(INDEX(Tbl_ActDet[Units],MATCH(Table1[[#This Row],[WASH Domain
(Select in the dropdown list)]]&amp;Table1[[#This Row],[Activity
(Select in the dropdown list)]]&amp;Table1[[#This Row],[Indicators
(automatically filled)]],Tbl_ActDet[Domain]&amp;Tbl_ActDet[Activity]&amp;Tbl_ActDet[Indicators],0)),"")</f>
        <v/>
      </c>
      <c r="W65" s="37"/>
      <c r="X65" s="30"/>
      <c r="Y65" s="30"/>
      <c r="Z65" s="31"/>
      <c r="AA65" s="32"/>
      <c r="AB65" s="32"/>
      <c r="AC65" s="32"/>
      <c r="AD65" s="32"/>
      <c r="AE65" s="38">
        <f>SUM(Table1[[#This Row],['#Beneficiary
Boys]:['#Beneficiary
Women]])</f>
        <v>0</v>
      </c>
      <c r="AF65" s="44"/>
      <c r="AG65" s="44"/>
      <c r="AH65" s="45"/>
      <c r="AI65" s="43"/>
    </row>
    <row r="66" spans="1:35" x14ac:dyDescent="0.35">
      <c r="A66" s="25"/>
      <c r="B66" s="33"/>
      <c r="C66" s="26" t="s">
        <v>1749</v>
      </c>
      <c r="D66" s="54" t="str" cm="1">
        <f t="array" ref="D66">_xlfn.XLOOKUP(Table1[[#This Row],[Organisation Name
(Select in the dropdown list)]],Table18[[#All],[Organization]],Table18[[#All],[Acronym]],"",0)</f>
        <v/>
      </c>
      <c r="E66" s="26"/>
      <c r="F66" s="26"/>
      <c r="G66" s="26"/>
      <c r="H66" s="27"/>
      <c r="I66" s="27"/>
      <c r="J66" s="27"/>
      <c r="K66" s="27"/>
      <c r="L66" s="27"/>
      <c r="M66" s="27"/>
      <c r="N66" s="27"/>
      <c r="O66" s="27"/>
      <c r="P66" s="27"/>
      <c r="Q66" s="27"/>
      <c r="R66" s="28"/>
      <c r="S66" s="28"/>
      <c r="T66" s="28"/>
      <c r="U66" s="29" t="str">
        <f>IFERROR(VLOOKUP(Table1[[#This Row],[Activity
(Select in the dropdown list)]],Tbl_ActDet[[#All],[Activity]:[Indicators]],2,FALSE),"")</f>
        <v/>
      </c>
      <c r="V66" s="37" t="str" cm="1">
        <f t="array" ref="V66">IFERROR(INDEX(Tbl_ActDet[Units],MATCH(Table1[[#This Row],[WASH Domain
(Select in the dropdown list)]]&amp;Table1[[#This Row],[Activity
(Select in the dropdown list)]]&amp;Table1[[#This Row],[Indicators
(automatically filled)]],Tbl_ActDet[Domain]&amp;Tbl_ActDet[Activity]&amp;Tbl_ActDet[Indicators],0)),"")</f>
        <v/>
      </c>
      <c r="W66" s="37"/>
      <c r="X66" s="30"/>
      <c r="Y66" s="30"/>
      <c r="Z66" s="31"/>
      <c r="AA66" s="32"/>
      <c r="AB66" s="32"/>
      <c r="AC66" s="32"/>
      <c r="AD66" s="32"/>
      <c r="AE66" s="38">
        <f>SUM(Table1[[#This Row],['#Beneficiary
Boys]:['#Beneficiary
Women]])</f>
        <v>0</v>
      </c>
      <c r="AF66" s="44"/>
      <c r="AG66" s="44"/>
      <c r="AH66" s="45"/>
      <c r="AI66" s="43"/>
    </row>
    <row r="67" spans="1:35" x14ac:dyDescent="0.35">
      <c r="A67" s="25"/>
      <c r="B67" s="33"/>
      <c r="C67" s="26" t="s">
        <v>1749</v>
      </c>
      <c r="D67" s="54" t="str" cm="1">
        <f t="array" ref="D67">_xlfn.XLOOKUP(Table1[[#This Row],[Organisation Name
(Select in the dropdown list)]],Table18[[#All],[Organization]],Table18[[#All],[Acronym]],"",0)</f>
        <v/>
      </c>
      <c r="E67" s="26"/>
      <c r="F67" s="26"/>
      <c r="G67" s="26"/>
      <c r="H67" s="27"/>
      <c r="I67" s="27"/>
      <c r="J67" s="27"/>
      <c r="K67" s="27"/>
      <c r="L67" s="27"/>
      <c r="M67" s="27"/>
      <c r="N67" s="27"/>
      <c r="O67" s="27"/>
      <c r="P67" s="27"/>
      <c r="Q67" s="27"/>
      <c r="R67" s="28"/>
      <c r="S67" s="28"/>
      <c r="T67" s="28"/>
      <c r="U67" s="29" t="str">
        <f>IFERROR(VLOOKUP(Table1[[#This Row],[Activity
(Select in the dropdown list)]],Tbl_ActDet[[#All],[Activity]:[Indicators]],2,FALSE),"")</f>
        <v/>
      </c>
      <c r="V67" s="37" t="str" cm="1">
        <f t="array" ref="V67">IFERROR(INDEX(Tbl_ActDet[Units],MATCH(Table1[[#This Row],[WASH Domain
(Select in the dropdown list)]]&amp;Table1[[#This Row],[Activity
(Select in the dropdown list)]]&amp;Table1[[#This Row],[Indicators
(automatically filled)]],Tbl_ActDet[Domain]&amp;Tbl_ActDet[Activity]&amp;Tbl_ActDet[Indicators],0)),"")</f>
        <v/>
      </c>
      <c r="W67" s="37"/>
      <c r="X67" s="30"/>
      <c r="Y67" s="30"/>
      <c r="Z67" s="31"/>
      <c r="AA67" s="32"/>
      <c r="AB67" s="32"/>
      <c r="AC67" s="32"/>
      <c r="AD67" s="32"/>
      <c r="AE67" s="38">
        <f>SUM(Table1[[#This Row],['#Beneficiary
Boys]:['#Beneficiary
Women]])</f>
        <v>0</v>
      </c>
      <c r="AF67" s="44"/>
      <c r="AG67" s="44"/>
      <c r="AH67" s="45"/>
      <c r="AI67" s="43"/>
    </row>
    <row r="68" spans="1:35" x14ac:dyDescent="0.35">
      <c r="A68" s="25"/>
      <c r="B68" s="33"/>
      <c r="C68" s="26" t="s">
        <v>1749</v>
      </c>
      <c r="D68" s="54" t="str" cm="1">
        <f t="array" ref="D68">_xlfn.XLOOKUP(Table1[[#This Row],[Organisation Name
(Select in the dropdown list)]],Table18[[#All],[Organization]],Table18[[#All],[Acronym]],"",0)</f>
        <v/>
      </c>
      <c r="E68" s="26"/>
      <c r="F68" s="26"/>
      <c r="G68" s="26"/>
      <c r="H68" s="27"/>
      <c r="I68" s="27"/>
      <c r="J68" s="27"/>
      <c r="K68" s="27"/>
      <c r="L68" s="27"/>
      <c r="M68" s="27"/>
      <c r="N68" s="27"/>
      <c r="O68" s="27"/>
      <c r="P68" s="27"/>
      <c r="Q68" s="27"/>
      <c r="R68" s="28"/>
      <c r="S68" s="28"/>
      <c r="T68" s="28"/>
      <c r="U68" s="29" t="str">
        <f>IFERROR(VLOOKUP(Table1[[#This Row],[Activity
(Select in the dropdown list)]],Tbl_ActDet[[#All],[Activity]:[Indicators]],2,FALSE),"")</f>
        <v/>
      </c>
      <c r="V68" s="37" t="str" cm="1">
        <f t="array" ref="V68">IFERROR(INDEX(Tbl_ActDet[Units],MATCH(Table1[[#This Row],[WASH Domain
(Select in the dropdown list)]]&amp;Table1[[#This Row],[Activity
(Select in the dropdown list)]]&amp;Table1[[#This Row],[Indicators
(automatically filled)]],Tbl_ActDet[Domain]&amp;Tbl_ActDet[Activity]&amp;Tbl_ActDet[Indicators],0)),"")</f>
        <v/>
      </c>
      <c r="W68" s="37"/>
      <c r="X68" s="30"/>
      <c r="Y68" s="30"/>
      <c r="Z68" s="31"/>
      <c r="AA68" s="32"/>
      <c r="AB68" s="32"/>
      <c r="AC68" s="32"/>
      <c r="AD68" s="32"/>
      <c r="AE68" s="38">
        <f>SUM(Table1[[#This Row],['#Beneficiary
Boys]:['#Beneficiary
Women]])</f>
        <v>0</v>
      </c>
      <c r="AF68" s="44"/>
      <c r="AG68" s="44"/>
      <c r="AH68" s="45"/>
      <c r="AI68" s="43"/>
    </row>
    <row r="69" spans="1:35" x14ac:dyDescent="0.35">
      <c r="A69" s="25"/>
      <c r="B69" s="33"/>
      <c r="C69" s="26" t="s">
        <v>1749</v>
      </c>
      <c r="D69" s="54" t="str" cm="1">
        <f t="array" ref="D69">_xlfn.XLOOKUP(Table1[[#This Row],[Organisation Name
(Select in the dropdown list)]],Table18[[#All],[Organization]],Table18[[#All],[Acronym]],"",0)</f>
        <v/>
      </c>
      <c r="E69" s="26"/>
      <c r="F69" s="26"/>
      <c r="G69" s="26"/>
      <c r="H69" s="27"/>
      <c r="I69" s="27"/>
      <c r="J69" s="27"/>
      <c r="K69" s="27"/>
      <c r="L69" s="27"/>
      <c r="M69" s="27"/>
      <c r="N69" s="27"/>
      <c r="O69" s="27"/>
      <c r="P69" s="27"/>
      <c r="Q69" s="27"/>
      <c r="R69" s="28"/>
      <c r="S69" s="28"/>
      <c r="T69" s="28"/>
      <c r="U69" s="29" t="str">
        <f>IFERROR(VLOOKUP(Table1[[#This Row],[Activity
(Select in the dropdown list)]],Tbl_ActDet[[#All],[Activity]:[Indicators]],2,FALSE),"")</f>
        <v/>
      </c>
      <c r="V69" s="37" t="str" cm="1">
        <f t="array" ref="V69">IFERROR(INDEX(Tbl_ActDet[Units],MATCH(Table1[[#This Row],[WASH Domain
(Select in the dropdown list)]]&amp;Table1[[#This Row],[Activity
(Select in the dropdown list)]]&amp;Table1[[#This Row],[Indicators
(automatically filled)]],Tbl_ActDet[Domain]&amp;Tbl_ActDet[Activity]&amp;Tbl_ActDet[Indicators],0)),"")</f>
        <v/>
      </c>
      <c r="W69" s="37"/>
      <c r="X69" s="30"/>
      <c r="Y69" s="30"/>
      <c r="Z69" s="31"/>
      <c r="AA69" s="32"/>
      <c r="AB69" s="32"/>
      <c r="AC69" s="32"/>
      <c r="AD69" s="32"/>
      <c r="AE69" s="38">
        <f>SUM(Table1[[#This Row],['#Beneficiary
Boys]:['#Beneficiary
Women]])</f>
        <v>0</v>
      </c>
      <c r="AF69" s="44"/>
      <c r="AG69" s="44"/>
      <c r="AH69" s="45"/>
      <c r="AI69" s="43"/>
    </row>
    <row r="70" spans="1:35" x14ac:dyDescent="0.35">
      <c r="A70" s="25"/>
      <c r="B70" s="33"/>
      <c r="C70" s="26" t="s">
        <v>1749</v>
      </c>
      <c r="D70" s="54" t="str" cm="1">
        <f t="array" ref="D70">_xlfn.XLOOKUP(Table1[[#This Row],[Organisation Name
(Select in the dropdown list)]],Table18[[#All],[Organization]],Table18[[#All],[Acronym]],"",0)</f>
        <v/>
      </c>
      <c r="E70" s="26"/>
      <c r="F70" s="26"/>
      <c r="G70" s="26"/>
      <c r="H70" s="27"/>
      <c r="I70" s="27"/>
      <c r="J70" s="27"/>
      <c r="K70" s="27"/>
      <c r="L70" s="27"/>
      <c r="M70" s="27"/>
      <c r="N70" s="27"/>
      <c r="O70" s="27"/>
      <c r="P70" s="27"/>
      <c r="Q70" s="27"/>
      <c r="R70" s="28"/>
      <c r="S70" s="28"/>
      <c r="T70" s="28"/>
      <c r="U70" s="29" t="str">
        <f>IFERROR(VLOOKUP(Table1[[#This Row],[Activity
(Select in the dropdown list)]],Tbl_ActDet[[#All],[Activity]:[Indicators]],2,FALSE),"")</f>
        <v/>
      </c>
      <c r="V70" s="37" t="str" cm="1">
        <f t="array" ref="V70">IFERROR(INDEX(Tbl_ActDet[Units],MATCH(Table1[[#This Row],[WASH Domain
(Select in the dropdown list)]]&amp;Table1[[#This Row],[Activity
(Select in the dropdown list)]]&amp;Table1[[#This Row],[Indicators
(automatically filled)]],Tbl_ActDet[Domain]&amp;Tbl_ActDet[Activity]&amp;Tbl_ActDet[Indicators],0)),"")</f>
        <v/>
      </c>
      <c r="W70" s="37"/>
      <c r="X70" s="30"/>
      <c r="Y70" s="30"/>
      <c r="Z70" s="31"/>
      <c r="AA70" s="32"/>
      <c r="AB70" s="32"/>
      <c r="AC70" s="32"/>
      <c r="AD70" s="32"/>
      <c r="AE70" s="38">
        <f>SUM(Table1[[#This Row],['#Beneficiary
Boys]:['#Beneficiary
Women]])</f>
        <v>0</v>
      </c>
      <c r="AF70" s="44"/>
      <c r="AG70" s="44"/>
      <c r="AH70" s="45"/>
      <c r="AI70" s="43"/>
    </row>
    <row r="71" spans="1:35" x14ac:dyDescent="0.35">
      <c r="A71" s="25"/>
      <c r="B71" s="33"/>
      <c r="C71" s="26" t="s">
        <v>1749</v>
      </c>
      <c r="D71" s="54" t="str" cm="1">
        <f t="array" ref="D71">_xlfn.XLOOKUP(Table1[[#This Row],[Organisation Name
(Select in the dropdown list)]],Table18[[#All],[Organization]],Table18[[#All],[Acronym]],"",0)</f>
        <v/>
      </c>
      <c r="E71" s="26"/>
      <c r="F71" s="26"/>
      <c r="G71" s="26"/>
      <c r="H71" s="27"/>
      <c r="I71" s="27"/>
      <c r="J71" s="27"/>
      <c r="K71" s="27"/>
      <c r="L71" s="27"/>
      <c r="M71" s="27"/>
      <c r="N71" s="27"/>
      <c r="O71" s="27"/>
      <c r="P71" s="27"/>
      <c r="Q71" s="27"/>
      <c r="R71" s="28"/>
      <c r="S71" s="28"/>
      <c r="T71" s="28"/>
      <c r="U71" s="29" t="str">
        <f>IFERROR(VLOOKUP(Table1[[#This Row],[Activity
(Select in the dropdown list)]],Tbl_ActDet[[#All],[Activity]:[Indicators]],2,FALSE),"")</f>
        <v/>
      </c>
      <c r="V71" s="37" t="str" cm="1">
        <f t="array" ref="V71">IFERROR(INDEX(Tbl_ActDet[Units],MATCH(Table1[[#This Row],[WASH Domain
(Select in the dropdown list)]]&amp;Table1[[#This Row],[Activity
(Select in the dropdown list)]]&amp;Table1[[#This Row],[Indicators
(automatically filled)]],Tbl_ActDet[Domain]&amp;Tbl_ActDet[Activity]&amp;Tbl_ActDet[Indicators],0)),"")</f>
        <v/>
      </c>
      <c r="W71" s="37"/>
      <c r="X71" s="30"/>
      <c r="Y71" s="30"/>
      <c r="Z71" s="31"/>
      <c r="AA71" s="32"/>
      <c r="AB71" s="32"/>
      <c r="AC71" s="32"/>
      <c r="AD71" s="32"/>
      <c r="AE71" s="38">
        <f>SUM(Table1[[#This Row],['#Beneficiary
Boys]:['#Beneficiary
Women]])</f>
        <v>0</v>
      </c>
      <c r="AF71" s="44"/>
      <c r="AG71" s="44"/>
      <c r="AH71" s="45"/>
      <c r="AI71" s="43"/>
    </row>
    <row r="72" spans="1:35" x14ac:dyDescent="0.35">
      <c r="A72" s="25"/>
      <c r="B72" s="33"/>
      <c r="C72" s="26" t="s">
        <v>1749</v>
      </c>
      <c r="D72" s="54" t="str" cm="1">
        <f t="array" ref="D72">_xlfn.XLOOKUP(Table1[[#This Row],[Organisation Name
(Select in the dropdown list)]],Table18[[#All],[Organization]],Table18[[#All],[Acronym]],"",0)</f>
        <v/>
      </c>
      <c r="E72" s="26"/>
      <c r="F72" s="26"/>
      <c r="G72" s="26"/>
      <c r="H72" s="27"/>
      <c r="I72" s="27"/>
      <c r="J72" s="27"/>
      <c r="K72" s="27"/>
      <c r="L72" s="27"/>
      <c r="M72" s="27"/>
      <c r="N72" s="27"/>
      <c r="O72" s="27"/>
      <c r="P72" s="27"/>
      <c r="Q72" s="27"/>
      <c r="R72" s="28"/>
      <c r="S72" s="28"/>
      <c r="T72" s="28"/>
      <c r="U72" s="29" t="str">
        <f>IFERROR(VLOOKUP(Table1[[#This Row],[Activity
(Select in the dropdown list)]],Tbl_ActDet[[#All],[Activity]:[Indicators]],2,FALSE),"")</f>
        <v/>
      </c>
      <c r="V72" s="37" t="str" cm="1">
        <f t="array" ref="V72">IFERROR(INDEX(Tbl_ActDet[Units],MATCH(Table1[[#This Row],[WASH Domain
(Select in the dropdown list)]]&amp;Table1[[#This Row],[Activity
(Select in the dropdown list)]]&amp;Table1[[#This Row],[Indicators
(automatically filled)]],Tbl_ActDet[Domain]&amp;Tbl_ActDet[Activity]&amp;Tbl_ActDet[Indicators],0)),"")</f>
        <v/>
      </c>
      <c r="W72" s="37"/>
      <c r="X72" s="30"/>
      <c r="Y72" s="30"/>
      <c r="Z72" s="31"/>
      <c r="AA72" s="32"/>
      <c r="AB72" s="32"/>
      <c r="AC72" s="32"/>
      <c r="AD72" s="32"/>
      <c r="AE72" s="38">
        <f>SUM(Table1[[#This Row],['#Beneficiary
Boys]:['#Beneficiary
Women]])</f>
        <v>0</v>
      </c>
      <c r="AF72" s="44"/>
      <c r="AG72" s="44"/>
      <c r="AH72" s="45"/>
      <c r="AI72" s="43"/>
    </row>
    <row r="73" spans="1:35" x14ac:dyDescent="0.35">
      <c r="A73" s="25"/>
      <c r="B73" s="33"/>
      <c r="C73" s="26" t="s">
        <v>1749</v>
      </c>
      <c r="D73" s="54" t="str" cm="1">
        <f t="array" ref="D73">_xlfn.XLOOKUP(Table1[[#This Row],[Organisation Name
(Select in the dropdown list)]],Table18[[#All],[Organization]],Table18[[#All],[Acronym]],"",0)</f>
        <v/>
      </c>
      <c r="E73" s="26"/>
      <c r="F73" s="26"/>
      <c r="G73" s="26"/>
      <c r="H73" s="27"/>
      <c r="I73" s="27"/>
      <c r="J73" s="27"/>
      <c r="K73" s="27"/>
      <c r="L73" s="27"/>
      <c r="M73" s="27"/>
      <c r="N73" s="27"/>
      <c r="O73" s="27"/>
      <c r="P73" s="27"/>
      <c r="Q73" s="27"/>
      <c r="R73" s="28"/>
      <c r="S73" s="28"/>
      <c r="T73" s="28"/>
      <c r="U73" s="29" t="str">
        <f>IFERROR(VLOOKUP(Table1[[#This Row],[Activity
(Select in the dropdown list)]],Tbl_ActDet[[#All],[Activity]:[Indicators]],2,FALSE),"")</f>
        <v/>
      </c>
      <c r="V73" s="37" t="str" cm="1">
        <f t="array" ref="V73">IFERROR(INDEX(Tbl_ActDet[Units],MATCH(Table1[[#This Row],[WASH Domain
(Select in the dropdown list)]]&amp;Table1[[#This Row],[Activity
(Select in the dropdown list)]]&amp;Table1[[#This Row],[Indicators
(automatically filled)]],Tbl_ActDet[Domain]&amp;Tbl_ActDet[Activity]&amp;Tbl_ActDet[Indicators],0)),"")</f>
        <v/>
      </c>
      <c r="W73" s="37"/>
      <c r="X73" s="30"/>
      <c r="Y73" s="30"/>
      <c r="Z73" s="31"/>
      <c r="AA73" s="32"/>
      <c r="AB73" s="32"/>
      <c r="AC73" s="32"/>
      <c r="AD73" s="32"/>
      <c r="AE73" s="38">
        <f>SUM(Table1[[#This Row],['#Beneficiary
Boys]:['#Beneficiary
Women]])</f>
        <v>0</v>
      </c>
      <c r="AF73" s="44"/>
      <c r="AG73" s="44"/>
      <c r="AH73" s="45"/>
      <c r="AI73" s="43"/>
    </row>
    <row r="74" spans="1:35" x14ac:dyDescent="0.35">
      <c r="A74" s="25"/>
      <c r="B74" s="33"/>
      <c r="C74" s="26" t="s">
        <v>1749</v>
      </c>
      <c r="D74" s="54" t="str" cm="1">
        <f t="array" ref="D74">_xlfn.XLOOKUP(Table1[[#This Row],[Organisation Name
(Select in the dropdown list)]],Table18[[#All],[Organization]],Table18[[#All],[Acronym]],"",0)</f>
        <v/>
      </c>
      <c r="E74" s="26"/>
      <c r="F74" s="26"/>
      <c r="G74" s="26"/>
      <c r="H74" s="27"/>
      <c r="I74" s="27"/>
      <c r="J74" s="27"/>
      <c r="K74" s="27"/>
      <c r="L74" s="27"/>
      <c r="M74" s="27"/>
      <c r="N74" s="27"/>
      <c r="O74" s="27"/>
      <c r="P74" s="27"/>
      <c r="Q74" s="27"/>
      <c r="R74" s="28"/>
      <c r="S74" s="28"/>
      <c r="T74" s="28"/>
      <c r="U74" s="29" t="str">
        <f>IFERROR(VLOOKUP(Table1[[#This Row],[Activity
(Select in the dropdown list)]],Tbl_ActDet[[#All],[Activity]:[Indicators]],2,FALSE),"")</f>
        <v/>
      </c>
      <c r="V74" s="37" t="str" cm="1">
        <f t="array" ref="V74">IFERROR(INDEX(Tbl_ActDet[Units],MATCH(Table1[[#This Row],[WASH Domain
(Select in the dropdown list)]]&amp;Table1[[#This Row],[Activity
(Select in the dropdown list)]]&amp;Table1[[#This Row],[Indicators
(automatically filled)]],Tbl_ActDet[Domain]&amp;Tbl_ActDet[Activity]&amp;Tbl_ActDet[Indicators],0)),"")</f>
        <v/>
      </c>
      <c r="W74" s="37"/>
      <c r="X74" s="30"/>
      <c r="Y74" s="30"/>
      <c r="Z74" s="31"/>
      <c r="AA74" s="32"/>
      <c r="AB74" s="32"/>
      <c r="AC74" s="32"/>
      <c r="AD74" s="32"/>
      <c r="AE74" s="38">
        <f>SUM(Table1[[#This Row],['#Beneficiary
Boys]:['#Beneficiary
Women]])</f>
        <v>0</v>
      </c>
      <c r="AF74" s="44"/>
      <c r="AG74" s="44"/>
      <c r="AH74" s="45"/>
      <c r="AI74" s="43"/>
    </row>
    <row r="75" spans="1:35" x14ac:dyDescent="0.35">
      <c r="A75" s="25"/>
      <c r="B75" s="33"/>
      <c r="C75" s="26" t="s">
        <v>1749</v>
      </c>
      <c r="D75" s="54" t="str" cm="1">
        <f t="array" ref="D75">_xlfn.XLOOKUP(Table1[[#This Row],[Organisation Name
(Select in the dropdown list)]],Table18[[#All],[Organization]],Table18[[#All],[Acronym]],"",0)</f>
        <v/>
      </c>
      <c r="E75" s="26"/>
      <c r="F75" s="26"/>
      <c r="G75" s="26"/>
      <c r="H75" s="27"/>
      <c r="I75" s="27"/>
      <c r="J75" s="27"/>
      <c r="K75" s="27"/>
      <c r="L75" s="27"/>
      <c r="M75" s="27"/>
      <c r="N75" s="27"/>
      <c r="O75" s="27"/>
      <c r="P75" s="27"/>
      <c r="Q75" s="27"/>
      <c r="R75" s="28"/>
      <c r="S75" s="28"/>
      <c r="T75" s="28"/>
      <c r="U75" s="29" t="str">
        <f>IFERROR(VLOOKUP(Table1[[#This Row],[Activity
(Select in the dropdown list)]],Tbl_ActDet[[#All],[Activity]:[Indicators]],2,FALSE),"")</f>
        <v/>
      </c>
      <c r="V75" s="37" t="str" cm="1">
        <f t="array" ref="V75">IFERROR(INDEX(Tbl_ActDet[Units],MATCH(Table1[[#This Row],[WASH Domain
(Select in the dropdown list)]]&amp;Table1[[#This Row],[Activity
(Select in the dropdown list)]]&amp;Table1[[#This Row],[Indicators
(automatically filled)]],Tbl_ActDet[Domain]&amp;Tbl_ActDet[Activity]&amp;Tbl_ActDet[Indicators],0)),"")</f>
        <v/>
      </c>
      <c r="W75" s="37"/>
      <c r="X75" s="30"/>
      <c r="Y75" s="30"/>
      <c r="Z75" s="31"/>
      <c r="AA75" s="32"/>
      <c r="AB75" s="32"/>
      <c r="AC75" s="32"/>
      <c r="AD75" s="32"/>
      <c r="AE75" s="38">
        <f>SUM(Table1[[#This Row],['#Beneficiary
Boys]:['#Beneficiary
Women]])</f>
        <v>0</v>
      </c>
      <c r="AF75" s="44"/>
      <c r="AG75" s="44"/>
      <c r="AH75" s="45"/>
      <c r="AI75" s="43"/>
    </row>
    <row r="76" spans="1:35" x14ac:dyDescent="0.35">
      <c r="A76" s="25"/>
      <c r="B76" s="33"/>
      <c r="C76" s="26" t="s">
        <v>1749</v>
      </c>
      <c r="D76" s="54" t="str" cm="1">
        <f t="array" ref="D76">_xlfn.XLOOKUP(Table1[[#This Row],[Organisation Name
(Select in the dropdown list)]],Table18[[#All],[Organization]],Table18[[#All],[Acronym]],"",0)</f>
        <v/>
      </c>
      <c r="E76" s="26"/>
      <c r="F76" s="26"/>
      <c r="G76" s="26"/>
      <c r="H76" s="27"/>
      <c r="I76" s="27"/>
      <c r="J76" s="27"/>
      <c r="K76" s="27"/>
      <c r="L76" s="27"/>
      <c r="M76" s="27"/>
      <c r="N76" s="27"/>
      <c r="O76" s="27"/>
      <c r="P76" s="27"/>
      <c r="Q76" s="27"/>
      <c r="R76" s="28"/>
      <c r="S76" s="28"/>
      <c r="T76" s="28"/>
      <c r="U76" s="29" t="str">
        <f>IFERROR(VLOOKUP(Table1[[#This Row],[Activity
(Select in the dropdown list)]],Tbl_ActDet[[#All],[Activity]:[Indicators]],2,FALSE),"")</f>
        <v/>
      </c>
      <c r="V76" s="37" t="str" cm="1">
        <f t="array" ref="V76">IFERROR(INDEX(Tbl_ActDet[Units],MATCH(Table1[[#This Row],[WASH Domain
(Select in the dropdown list)]]&amp;Table1[[#This Row],[Activity
(Select in the dropdown list)]]&amp;Table1[[#This Row],[Indicators
(automatically filled)]],Tbl_ActDet[Domain]&amp;Tbl_ActDet[Activity]&amp;Tbl_ActDet[Indicators],0)),"")</f>
        <v/>
      </c>
      <c r="W76" s="37"/>
      <c r="X76" s="30"/>
      <c r="Y76" s="30"/>
      <c r="Z76" s="31"/>
      <c r="AA76" s="32"/>
      <c r="AB76" s="32"/>
      <c r="AC76" s="32"/>
      <c r="AD76" s="32"/>
      <c r="AE76" s="38">
        <f>SUM(Table1[[#This Row],['#Beneficiary
Boys]:['#Beneficiary
Women]])</f>
        <v>0</v>
      </c>
      <c r="AF76" s="44"/>
      <c r="AG76" s="44"/>
      <c r="AH76" s="45"/>
      <c r="AI76" s="43"/>
    </row>
    <row r="77" spans="1:35" x14ac:dyDescent="0.35">
      <c r="A77" s="25"/>
      <c r="B77" s="33"/>
      <c r="C77" s="26" t="s">
        <v>1749</v>
      </c>
      <c r="D77" s="54" t="str" cm="1">
        <f t="array" ref="D77">_xlfn.XLOOKUP(Table1[[#This Row],[Organisation Name
(Select in the dropdown list)]],Table18[[#All],[Organization]],Table18[[#All],[Acronym]],"",0)</f>
        <v/>
      </c>
      <c r="E77" s="26"/>
      <c r="F77" s="26"/>
      <c r="G77" s="26"/>
      <c r="H77" s="27"/>
      <c r="I77" s="27"/>
      <c r="J77" s="27"/>
      <c r="K77" s="27"/>
      <c r="L77" s="27"/>
      <c r="M77" s="27"/>
      <c r="N77" s="27"/>
      <c r="O77" s="27"/>
      <c r="P77" s="27"/>
      <c r="Q77" s="27"/>
      <c r="R77" s="28"/>
      <c r="S77" s="28"/>
      <c r="T77" s="28"/>
      <c r="U77" s="29" t="str">
        <f>IFERROR(VLOOKUP(Table1[[#This Row],[Activity
(Select in the dropdown list)]],Tbl_ActDet[[#All],[Activity]:[Indicators]],2,FALSE),"")</f>
        <v/>
      </c>
      <c r="V77" s="37" t="str" cm="1">
        <f t="array" ref="V77">IFERROR(INDEX(Tbl_ActDet[Units],MATCH(Table1[[#This Row],[WASH Domain
(Select in the dropdown list)]]&amp;Table1[[#This Row],[Activity
(Select in the dropdown list)]]&amp;Table1[[#This Row],[Indicators
(automatically filled)]],Tbl_ActDet[Domain]&amp;Tbl_ActDet[Activity]&amp;Tbl_ActDet[Indicators],0)),"")</f>
        <v/>
      </c>
      <c r="W77" s="37"/>
      <c r="X77" s="30"/>
      <c r="Y77" s="30"/>
      <c r="Z77" s="31"/>
      <c r="AA77" s="32"/>
      <c r="AB77" s="32"/>
      <c r="AC77" s="32"/>
      <c r="AD77" s="32"/>
      <c r="AE77" s="38">
        <f>SUM(Table1[[#This Row],['#Beneficiary
Boys]:['#Beneficiary
Women]])</f>
        <v>0</v>
      </c>
      <c r="AF77" s="44"/>
      <c r="AG77" s="44"/>
      <c r="AH77" s="45"/>
      <c r="AI77" s="43"/>
    </row>
    <row r="78" spans="1:35" x14ac:dyDescent="0.35">
      <c r="A78" s="25"/>
      <c r="B78" s="33"/>
      <c r="C78" s="26" t="s">
        <v>1749</v>
      </c>
      <c r="D78" s="54" t="str" cm="1">
        <f t="array" ref="D78">_xlfn.XLOOKUP(Table1[[#This Row],[Organisation Name
(Select in the dropdown list)]],Table18[[#All],[Organization]],Table18[[#All],[Acronym]],"",0)</f>
        <v/>
      </c>
      <c r="E78" s="26"/>
      <c r="F78" s="26"/>
      <c r="G78" s="26"/>
      <c r="H78" s="27"/>
      <c r="I78" s="27"/>
      <c r="J78" s="27"/>
      <c r="K78" s="27"/>
      <c r="L78" s="27"/>
      <c r="M78" s="27"/>
      <c r="N78" s="27"/>
      <c r="O78" s="27"/>
      <c r="P78" s="27"/>
      <c r="Q78" s="27"/>
      <c r="R78" s="28"/>
      <c r="S78" s="28"/>
      <c r="T78" s="28"/>
      <c r="U78" s="29" t="str">
        <f>IFERROR(VLOOKUP(Table1[[#This Row],[Activity
(Select in the dropdown list)]],Tbl_ActDet[[#All],[Activity]:[Indicators]],2,FALSE),"")</f>
        <v/>
      </c>
      <c r="V78" s="37" t="str" cm="1">
        <f t="array" ref="V78">IFERROR(INDEX(Tbl_ActDet[Units],MATCH(Table1[[#This Row],[WASH Domain
(Select in the dropdown list)]]&amp;Table1[[#This Row],[Activity
(Select in the dropdown list)]]&amp;Table1[[#This Row],[Indicators
(automatically filled)]],Tbl_ActDet[Domain]&amp;Tbl_ActDet[Activity]&amp;Tbl_ActDet[Indicators],0)),"")</f>
        <v/>
      </c>
      <c r="W78" s="37"/>
      <c r="X78" s="30"/>
      <c r="Y78" s="30"/>
      <c r="Z78" s="31"/>
      <c r="AA78" s="32"/>
      <c r="AB78" s="32"/>
      <c r="AC78" s="32"/>
      <c r="AD78" s="32"/>
      <c r="AE78" s="38">
        <f>SUM(Table1[[#This Row],['#Beneficiary
Boys]:['#Beneficiary
Women]])</f>
        <v>0</v>
      </c>
      <c r="AF78" s="44"/>
      <c r="AG78" s="44"/>
      <c r="AH78" s="45"/>
      <c r="AI78" s="43"/>
    </row>
    <row r="79" spans="1:35" x14ac:dyDescent="0.35">
      <c r="A79" s="25"/>
      <c r="B79" s="33"/>
      <c r="C79" s="26" t="s">
        <v>1749</v>
      </c>
      <c r="D79" s="54" t="str" cm="1">
        <f t="array" ref="D79">_xlfn.XLOOKUP(Table1[[#This Row],[Organisation Name
(Select in the dropdown list)]],Table18[[#All],[Organization]],Table18[[#All],[Acronym]],"",0)</f>
        <v/>
      </c>
      <c r="E79" s="26"/>
      <c r="F79" s="26"/>
      <c r="G79" s="26"/>
      <c r="H79" s="27"/>
      <c r="I79" s="27"/>
      <c r="J79" s="27"/>
      <c r="K79" s="27"/>
      <c r="L79" s="27"/>
      <c r="M79" s="27"/>
      <c r="N79" s="27"/>
      <c r="O79" s="27"/>
      <c r="P79" s="27"/>
      <c r="Q79" s="27"/>
      <c r="R79" s="28"/>
      <c r="S79" s="28"/>
      <c r="T79" s="28"/>
      <c r="U79" s="29" t="str">
        <f>IFERROR(VLOOKUP(Table1[[#This Row],[Activity
(Select in the dropdown list)]],Tbl_ActDet[[#All],[Activity]:[Indicators]],2,FALSE),"")</f>
        <v/>
      </c>
      <c r="V79" s="37" t="str" cm="1">
        <f t="array" ref="V79">IFERROR(INDEX(Tbl_ActDet[Units],MATCH(Table1[[#This Row],[WASH Domain
(Select in the dropdown list)]]&amp;Table1[[#This Row],[Activity
(Select in the dropdown list)]]&amp;Table1[[#This Row],[Indicators
(automatically filled)]],Tbl_ActDet[Domain]&amp;Tbl_ActDet[Activity]&amp;Tbl_ActDet[Indicators],0)),"")</f>
        <v/>
      </c>
      <c r="W79" s="37"/>
      <c r="X79" s="30"/>
      <c r="Y79" s="30"/>
      <c r="Z79" s="31"/>
      <c r="AA79" s="32"/>
      <c r="AB79" s="32"/>
      <c r="AC79" s="32"/>
      <c r="AD79" s="32"/>
      <c r="AE79" s="38">
        <f>SUM(Table1[[#This Row],['#Beneficiary
Boys]:['#Beneficiary
Women]])</f>
        <v>0</v>
      </c>
      <c r="AF79" s="44"/>
      <c r="AG79" s="44"/>
      <c r="AH79" s="45"/>
      <c r="AI79" s="43"/>
    </row>
    <row r="80" spans="1:35" x14ac:dyDescent="0.35">
      <c r="A80" s="25"/>
      <c r="B80" s="33"/>
      <c r="C80" s="26" t="s">
        <v>1749</v>
      </c>
      <c r="D80" s="54" t="str" cm="1">
        <f t="array" ref="D80">_xlfn.XLOOKUP(Table1[[#This Row],[Organisation Name
(Select in the dropdown list)]],Table18[[#All],[Organization]],Table18[[#All],[Acronym]],"",0)</f>
        <v/>
      </c>
      <c r="E80" s="26"/>
      <c r="F80" s="26"/>
      <c r="G80" s="26"/>
      <c r="H80" s="27"/>
      <c r="I80" s="27"/>
      <c r="J80" s="27"/>
      <c r="K80" s="27"/>
      <c r="L80" s="27"/>
      <c r="M80" s="27"/>
      <c r="N80" s="27"/>
      <c r="O80" s="27"/>
      <c r="P80" s="27"/>
      <c r="Q80" s="27"/>
      <c r="R80" s="28"/>
      <c r="S80" s="28"/>
      <c r="T80" s="28"/>
      <c r="U80" s="29" t="str">
        <f>IFERROR(VLOOKUP(Table1[[#This Row],[Activity
(Select in the dropdown list)]],Tbl_ActDet[[#All],[Activity]:[Indicators]],2,FALSE),"")</f>
        <v/>
      </c>
      <c r="V80" s="37" t="str" cm="1">
        <f t="array" ref="V80">IFERROR(INDEX(Tbl_ActDet[Units],MATCH(Table1[[#This Row],[WASH Domain
(Select in the dropdown list)]]&amp;Table1[[#This Row],[Activity
(Select in the dropdown list)]]&amp;Table1[[#This Row],[Indicators
(automatically filled)]],Tbl_ActDet[Domain]&amp;Tbl_ActDet[Activity]&amp;Tbl_ActDet[Indicators],0)),"")</f>
        <v/>
      </c>
      <c r="W80" s="37"/>
      <c r="X80" s="30"/>
      <c r="Y80" s="30"/>
      <c r="Z80" s="31"/>
      <c r="AA80" s="32"/>
      <c r="AB80" s="32"/>
      <c r="AC80" s="32"/>
      <c r="AD80" s="32"/>
      <c r="AE80" s="38">
        <f>SUM(Table1[[#This Row],['#Beneficiary
Boys]:['#Beneficiary
Women]])</f>
        <v>0</v>
      </c>
      <c r="AF80" s="44"/>
      <c r="AG80" s="44"/>
      <c r="AH80" s="45"/>
      <c r="AI80" s="43"/>
    </row>
    <row r="81" spans="1:35" x14ac:dyDescent="0.35">
      <c r="A81" s="25"/>
      <c r="B81" s="33"/>
      <c r="C81" s="26" t="s">
        <v>1749</v>
      </c>
      <c r="D81" s="54" t="str" cm="1">
        <f t="array" ref="D81">_xlfn.XLOOKUP(Table1[[#This Row],[Organisation Name
(Select in the dropdown list)]],Table18[[#All],[Organization]],Table18[[#All],[Acronym]],"",0)</f>
        <v/>
      </c>
      <c r="E81" s="26"/>
      <c r="F81" s="26"/>
      <c r="G81" s="26"/>
      <c r="H81" s="27"/>
      <c r="I81" s="27"/>
      <c r="J81" s="27"/>
      <c r="K81" s="27"/>
      <c r="L81" s="27"/>
      <c r="M81" s="27"/>
      <c r="N81" s="27"/>
      <c r="O81" s="27"/>
      <c r="P81" s="27"/>
      <c r="Q81" s="27"/>
      <c r="R81" s="28"/>
      <c r="S81" s="28"/>
      <c r="T81" s="28"/>
      <c r="U81" s="29" t="str">
        <f>IFERROR(VLOOKUP(Table1[[#This Row],[Activity
(Select in the dropdown list)]],Tbl_ActDet[[#All],[Activity]:[Indicators]],2,FALSE),"")</f>
        <v/>
      </c>
      <c r="V81" s="37" t="str" cm="1">
        <f t="array" ref="V81">IFERROR(INDEX(Tbl_ActDet[Units],MATCH(Table1[[#This Row],[WASH Domain
(Select in the dropdown list)]]&amp;Table1[[#This Row],[Activity
(Select in the dropdown list)]]&amp;Table1[[#This Row],[Indicators
(automatically filled)]],Tbl_ActDet[Domain]&amp;Tbl_ActDet[Activity]&amp;Tbl_ActDet[Indicators],0)),"")</f>
        <v/>
      </c>
      <c r="W81" s="37"/>
      <c r="X81" s="30"/>
      <c r="Y81" s="30"/>
      <c r="Z81" s="31"/>
      <c r="AA81" s="32"/>
      <c r="AB81" s="32"/>
      <c r="AC81" s="32"/>
      <c r="AD81" s="32"/>
      <c r="AE81" s="38">
        <f>SUM(Table1[[#This Row],['#Beneficiary
Boys]:['#Beneficiary
Women]])</f>
        <v>0</v>
      </c>
      <c r="AF81" s="44"/>
      <c r="AG81" s="44"/>
      <c r="AH81" s="45"/>
      <c r="AI81" s="43"/>
    </row>
    <row r="82" spans="1:35" x14ac:dyDescent="0.35">
      <c r="A82" s="25"/>
      <c r="B82" s="33"/>
      <c r="C82" s="26" t="s">
        <v>1749</v>
      </c>
      <c r="D82" s="54" t="str" cm="1">
        <f t="array" ref="D82">_xlfn.XLOOKUP(Table1[[#This Row],[Organisation Name
(Select in the dropdown list)]],Table18[[#All],[Organization]],Table18[[#All],[Acronym]],"",0)</f>
        <v/>
      </c>
      <c r="E82" s="26"/>
      <c r="F82" s="26"/>
      <c r="G82" s="26"/>
      <c r="H82" s="27"/>
      <c r="I82" s="27"/>
      <c r="J82" s="27"/>
      <c r="K82" s="27"/>
      <c r="L82" s="27"/>
      <c r="M82" s="27"/>
      <c r="N82" s="27"/>
      <c r="O82" s="27"/>
      <c r="P82" s="27"/>
      <c r="Q82" s="27"/>
      <c r="R82" s="28"/>
      <c r="S82" s="28"/>
      <c r="T82" s="28"/>
      <c r="U82" s="29" t="str">
        <f>IFERROR(VLOOKUP(Table1[[#This Row],[Activity
(Select in the dropdown list)]],Tbl_ActDet[[#All],[Activity]:[Indicators]],2,FALSE),"")</f>
        <v/>
      </c>
      <c r="V82" s="37" t="str" cm="1">
        <f t="array" ref="V82">IFERROR(INDEX(Tbl_ActDet[Units],MATCH(Table1[[#This Row],[WASH Domain
(Select in the dropdown list)]]&amp;Table1[[#This Row],[Activity
(Select in the dropdown list)]]&amp;Table1[[#This Row],[Indicators
(automatically filled)]],Tbl_ActDet[Domain]&amp;Tbl_ActDet[Activity]&amp;Tbl_ActDet[Indicators],0)),"")</f>
        <v/>
      </c>
      <c r="W82" s="37"/>
      <c r="X82" s="30"/>
      <c r="Y82" s="30"/>
      <c r="Z82" s="31"/>
      <c r="AA82" s="32"/>
      <c r="AB82" s="32"/>
      <c r="AC82" s="32"/>
      <c r="AD82" s="32"/>
      <c r="AE82" s="38">
        <f>SUM(Table1[[#This Row],['#Beneficiary
Boys]:['#Beneficiary
Women]])</f>
        <v>0</v>
      </c>
      <c r="AF82" s="44"/>
      <c r="AG82" s="44"/>
      <c r="AH82" s="45"/>
      <c r="AI82" s="43"/>
    </row>
    <row r="83" spans="1:35" x14ac:dyDescent="0.35">
      <c r="A83" s="25"/>
      <c r="B83" s="33"/>
      <c r="C83" s="26" t="s">
        <v>1749</v>
      </c>
      <c r="D83" s="54" t="str" cm="1">
        <f t="array" ref="D83">_xlfn.XLOOKUP(Table1[[#This Row],[Organisation Name
(Select in the dropdown list)]],Table18[[#All],[Organization]],Table18[[#All],[Acronym]],"",0)</f>
        <v/>
      </c>
      <c r="E83" s="26"/>
      <c r="F83" s="26"/>
      <c r="G83" s="26"/>
      <c r="H83" s="27"/>
      <c r="I83" s="27"/>
      <c r="J83" s="27"/>
      <c r="K83" s="27"/>
      <c r="L83" s="27"/>
      <c r="M83" s="27"/>
      <c r="N83" s="27"/>
      <c r="O83" s="27"/>
      <c r="P83" s="27"/>
      <c r="Q83" s="27"/>
      <c r="R83" s="28"/>
      <c r="S83" s="28"/>
      <c r="T83" s="28"/>
      <c r="U83" s="29" t="str">
        <f>IFERROR(VLOOKUP(Table1[[#This Row],[Activity
(Select in the dropdown list)]],Tbl_ActDet[[#All],[Activity]:[Indicators]],2,FALSE),"")</f>
        <v/>
      </c>
      <c r="V83" s="37" t="str" cm="1">
        <f t="array" ref="V83">IFERROR(INDEX(Tbl_ActDet[Units],MATCH(Table1[[#This Row],[WASH Domain
(Select in the dropdown list)]]&amp;Table1[[#This Row],[Activity
(Select in the dropdown list)]]&amp;Table1[[#This Row],[Indicators
(automatically filled)]],Tbl_ActDet[Domain]&amp;Tbl_ActDet[Activity]&amp;Tbl_ActDet[Indicators],0)),"")</f>
        <v/>
      </c>
      <c r="W83" s="37"/>
      <c r="X83" s="30"/>
      <c r="Y83" s="30"/>
      <c r="Z83" s="31"/>
      <c r="AA83" s="32"/>
      <c r="AB83" s="32"/>
      <c r="AC83" s="32"/>
      <c r="AD83" s="32"/>
      <c r="AE83" s="38">
        <f>SUM(Table1[[#This Row],['#Beneficiary
Boys]:['#Beneficiary
Women]])</f>
        <v>0</v>
      </c>
      <c r="AF83" s="44"/>
      <c r="AG83" s="44"/>
      <c r="AH83" s="45"/>
      <c r="AI83" s="43"/>
    </row>
    <row r="84" spans="1:35" x14ac:dyDescent="0.35">
      <c r="A84" s="25"/>
      <c r="B84" s="33"/>
      <c r="C84" s="26" t="s">
        <v>1749</v>
      </c>
      <c r="D84" s="54" t="str" cm="1">
        <f t="array" ref="D84">_xlfn.XLOOKUP(Table1[[#This Row],[Organisation Name
(Select in the dropdown list)]],Table18[[#All],[Organization]],Table18[[#All],[Acronym]],"",0)</f>
        <v/>
      </c>
      <c r="E84" s="26"/>
      <c r="F84" s="26"/>
      <c r="G84" s="26"/>
      <c r="H84" s="27"/>
      <c r="I84" s="27"/>
      <c r="J84" s="27"/>
      <c r="K84" s="27"/>
      <c r="L84" s="27"/>
      <c r="M84" s="27"/>
      <c r="N84" s="27"/>
      <c r="O84" s="27"/>
      <c r="P84" s="27"/>
      <c r="Q84" s="27"/>
      <c r="R84" s="28"/>
      <c r="S84" s="28"/>
      <c r="T84" s="28"/>
      <c r="U84" s="29" t="str">
        <f>IFERROR(VLOOKUP(Table1[[#This Row],[Activity
(Select in the dropdown list)]],Tbl_ActDet[[#All],[Activity]:[Indicators]],2,FALSE),"")</f>
        <v/>
      </c>
      <c r="V84" s="37" t="str" cm="1">
        <f t="array" ref="V84">IFERROR(INDEX(Tbl_ActDet[Units],MATCH(Table1[[#This Row],[WASH Domain
(Select in the dropdown list)]]&amp;Table1[[#This Row],[Activity
(Select in the dropdown list)]]&amp;Table1[[#This Row],[Indicators
(automatically filled)]],Tbl_ActDet[Domain]&amp;Tbl_ActDet[Activity]&amp;Tbl_ActDet[Indicators],0)),"")</f>
        <v/>
      </c>
      <c r="W84" s="37"/>
      <c r="X84" s="30"/>
      <c r="Y84" s="30"/>
      <c r="Z84" s="31"/>
      <c r="AA84" s="32"/>
      <c r="AB84" s="32"/>
      <c r="AC84" s="32"/>
      <c r="AD84" s="32"/>
      <c r="AE84" s="38">
        <f>SUM(Table1[[#This Row],['#Beneficiary
Boys]:['#Beneficiary
Women]])</f>
        <v>0</v>
      </c>
      <c r="AF84" s="44"/>
      <c r="AG84" s="44"/>
      <c r="AH84" s="45"/>
      <c r="AI84" s="43"/>
    </row>
    <row r="85" spans="1:35" x14ac:dyDescent="0.35">
      <c r="A85" s="25"/>
      <c r="B85" s="33"/>
      <c r="C85" s="26" t="s">
        <v>1749</v>
      </c>
      <c r="D85" s="54" t="str" cm="1">
        <f t="array" ref="D85">_xlfn.XLOOKUP(Table1[[#This Row],[Organisation Name
(Select in the dropdown list)]],Table18[[#All],[Organization]],Table18[[#All],[Acronym]],"",0)</f>
        <v/>
      </c>
      <c r="E85" s="26"/>
      <c r="F85" s="26"/>
      <c r="G85" s="26"/>
      <c r="H85" s="27"/>
      <c r="I85" s="27"/>
      <c r="J85" s="27"/>
      <c r="K85" s="27"/>
      <c r="L85" s="27"/>
      <c r="M85" s="27"/>
      <c r="N85" s="27"/>
      <c r="O85" s="27"/>
      <c r="P85" s="27"/>
      <c r="Q85" s="27"/>
      <c r="R85" s="28"/>
      <c r="S85" s="28"/>
      <c r="T85" s="28"/>
      <c r="U85" s="29" t="str">
        <f>IFERROR(VLOOKUP(Table1[[#This Row],[Activity
(Select in the dropdown list)]],Tbl_ActDet[[#All],[Activity]:[Indicators]],2,FALSE),"")</f>
        <v/>
      </c>
      <c r="V85" s="37" t="str" cm="1">
        <f t="array" ref="V85">IFERROR(INDEX(Tbl_ActDet[Units],MATCH(Table1[[#This Row],[WASH Domain
(Select in the dropdown list)]]&amp;Table1[[#This Row],[Activity
(Select in the dropdown list)]]&amp;Table1[[#This Row],[Indicators
(automatically filled)]],Tbl_ActDet[Domain]&amp;Tbl_ActDet[Activity]&amp;Tbl_ActDet[Indicators],0)),"")</f>
        <v/>
      </c>
      <c r="W85" s="37"/>
      <c r="X85" s="30"/>
      <c r="Y85" s="30"/>
      <c r="Z85" s="31"/>
      <c r="AA85" s="32"/>
      <c r="AB85" s="32"/>
      <c r="AC85" s="32"/>
      <c r="AD85" s="32"/>
      <c r="AE85" s="38">
        <f>SUM(Table1[[#This Row],['#Beneficiary
Boys]:['#Beneficiary
Women]])</f>
        <v>0</v>
      </c>
      <c r="AF85" s="44"/>
      <c r="AG85" s="44"/>
      <c r="AH85" s="45"/>
      <c r="AI85" s="43"/>
    </row>
    <row r="86" spans="1:35" x14ac:dyDescent="0.35">
      <c r="A86" s="25"/>
      <c r="B86" s="33"/>
      <c r="C86" s="26" t="s">
        <v>1749</v>
      </c>
      <c r="D86" s="54" t="str" cm="1">
        <f t="array" ref="D86">_xlfn.XLOOKUP(Table1[[#This Row],[Organisation Name
(Select in the dropdown list)]],Table18[[#All],[Organization]],Table18[[#All],[Acronym]],"",0)</f>
        <v/>
      </c>
      <c r="E86" s="26"/>
      <c r="F86" s="26"/>
      <c r="G86" s="26"/>
      <c r="H86" s="27"/>
      <c r="I86" s="27"/>
      <c r="J86" s="27"/>
      <c r="K86" s="27"/>
      <c r="L86" s="27"/>
      <c r="M86" s="27"/>
      <c r="N86" s="27"/>
      <c r="O86" s="27"/>
      <c r="P86" s="27"/>
      <c r="Q86" s="27"/>
      <c r="R86" s="28"/>
      <c r="S86" s="28"/>
      <c r="T86" s="28"/>
      <c r="U86" s="29" t="str">
        <f>IFERROR(VLOOKUP(Table1[[#This Row],[Activity
(Select in the dropdown list)]],Tbl_ActDet[[#All],[Activity]:[Indicators]],2,FALSE),"")</f>
        <v/>
      </c>
      <c r="V86" s="37" t="str" cm="1">
        <f t="array" ref="V86">IFERROR(INDEX(Tbl_ActDet[Units],MATCH(Table1[[#This Row],[WASH Domain
(Select in the dropdown list)]]&amp;Table1[[#This Row],[Activity
(Select in the dropdown list)]]&amp;Table1[[#This Row],[Indicators
(automatically filled)]],Tbl_ActDet[Domain]&amp;Tbl_ActDet[Activity]&amp;Tbl_ActDet[Indicators],0)),"")</f>
        <v/>
      </c>
      <c r="W86" s="37"/>
      <c r="X86" s="30"/>
      <c r="Y86" s="30"/>
      <c r="Z86" s="31"/>
      <c r="AA86" s="32"/>
      <c r="AB86" s="32"/>
      <c r="AC86" s="32"/>
      <c r="AD86" s="32"/>
      <c r="AE86" s="38">
        <f>SUM(Table1[[#This Row],['#Beneficiary
Boys]:['#Beneficiary
Women]])</f>
        <v>0</v>
      </c>
      <c r="AF86" s="44"/>
      <c r="AG86" s="44"/>
      <c r="AH86" s="45"/>
      <c r="AI86" s="43"/>
    </row>
    <row r="87" spans="1:35" x14ac:dyDescent="0.35">
      <c r="A87" s="25"/>
      <c r="B87" s="33"/>
      <c r="C87" s="26" t="s">
        <v>1749</v>
      </c>
      <c r="D87" s="54" t="str" cm="1">
        <f t="array" ref="D87">_xlfn.XLOOKUP(Table1[[#This Row],[Organisation Name
(Select in the dropdown list)]],Table18[[#All],[Organization]],Table18[[#All],[Acronym]],"",0)</f>
        <v/>
      </c>
      <c r="E87" s="26"/>
      <c r="F87" s="26"/>
      <c r="G87" s="26"/>
      <c r="H87" s="27"/>
      <c r="I87" s="27"/>
      <c r="J87" s="27"/>
      <c r="K87" s="27"/>
      <c r="L87" s="27"/>
      <c r="M87" s="27"/>
      <c r="N87" s="27"/>
      <c r="O87" s="27"/>
      <c r="P87" s="27"/>
      <c r="Q87" s="27"/>
      <c r="R87" s="28"/>
      <c r="S87" s="28"/>
      <c r="T87" s="28"/>
      <c r="U87" s="29" t="str">
        <f>IFERROR(VLOOKUP(Table1[[#This Row],[Activity
(Select in the dropdown list)]],Tbl_ActDet[[#All],[Activity]:[Indicators]],2,FALSE),"")</f>
        <v/>
      </c>
      <c r="V87" s="37" t="str" cm="1">
        <f t="array" ref="V87">IFERROR(INDEX(Tbl_ActDet[Units],MATCH(Table1[[#This Row],[WASH Domain
(Select in the dropdown list)]]&amp;Table1[[#This Row],[Activity
(Select in the dropdown list)]]&amp;Table1[[#This Row],[Indicators
(automatically filled)]],Tbl_ActDet[Domain]&amp;Tbl_ActDet[Activity]&amp;Tbl_ActDet[Indicators],0)),"")</f>
        <v/>
      </c>
      <c r="W87" s="37"/>
      <c r="X87" s="30"/>
      <c r="Y87" s="30"/>
      <c r="Z87" s="31"/>
      <c r="AA87" s="32"/>
      <c r="AB87" s="32"/>
      <c r="AC87" s="32"/>
      <c r="AD87" s="32"/>
      <c r="AE87" s="38">
        <f>SUM(Table1[[#This Row],['#Beneficiary
Boys]:['#Beneficiary
Women]])</f>
        <v>0</v>
      </c>
      <c r="AF87" s="44"/>
      <c r="AG87" s="44"/>
      <c r="AH87" s="45"/>
      <c r="AI87" s="43"/>
    </row>
    <row r="88" spans="1:35" x14ac:dyDescent="0.35">
      <c r="A88" s="25"/>
      <c r="B88" s="33"/>
      <c r="C88" s="26" t="s">
        <v>1749</v>
      </c>
      <c r="D88" s="54" t="str" cm="1">
        <f t="array" ref="D88">_xlfn.XLOOKUP(Table1[[#This Row],[Organisation Name
(Select in the dropdown list)]],Table18[[#All],[Organization]],Table18[[#All],[Acronym]],"",0)</f>
        <v/>
      </c>
      <c r="E88" s="26"/>
      <c r="F88" s="26"/>
      <c r="G88" s="26"/>
      <c r="H88" s="27"/>
      <c r="I88" s="27"/>
      <c r="J88" s="27"/>
      <c r="K88" s="27"/>
      <c r="L88" s="27"/>
      <c r="M88" s="27"/>
      <c r="N88" s="27"/>
      <c r="O88" s="27"/>
      <c r="P88" s="27"/>
      <c r="Q88" s="27"/>
      <c r="R88" s="28"/>
      <c r="S88" s="28"/>
      <c r="T88" s="28"/>
      <c r="U88" s="29" t="str">
        <f>IFERROR(VLOOKUP(Table1[[#This Row],[Activity
(Select in the dropdown list)]],Tbl_ActDet[[#All],[Activity]:[Indicators]],2,FALSE),"")</f>
        <v/>
      </c>
      <c r="V88" s="37" t="str" cm="1">
        <f t="array" ref="V88">IFERROR(INDEX(Tbl_ActDet[Units],MATCH(Table1[[#This Row],[WASH Domain
(Select in the dropdown list)]]&amp;Table1[[#This Row],[Activity
(Select in the dropdown list)]]&amp;Table1[[#This Row],[Indicators
(automatically filled)]],Tbl_ActDet[Domain]&amp;Tbl_ActDet[Activity]&amp;Tbl_ActDet[Indicators],0)),"")</f>
        <v/>
      </c>
      <c r="W88" s="37"/>
      <c r="X88" s="30"/>
      <c r="Y88" s="30"/>
      <c r="Z88" s="31"/>
      <c r="AA88" s="32"/>
      <c r="AB88" s="32"/>
      <c r="AC88" s="32"/>
      <c r="AD88" s="32"/>
      <c r="AE88" s="38">
        <f>SUM(Table1[[#This Row],['#Beneficiary
Boys]:['#Beneficiary
Women]])</f>
        <v>0</v>
      </c>
      <c r="AF88" s="44"/>
      <c r="AG88" s="44"/>
      <c r="AH88" s="45"/>
      <c r="AI88" s="43"/>
    </row>
    <row r="89" spans="1:35" x14ac:dyDescent="0.35">
      <c r="A89" s="25"/>
      <c r="B89" s="33"/>
      <c r="C89" s="26" t="s">
        <v>1749</v>
      </c>
      <c r="D89" s="54" t="str" cm="1">
        <f t="array" ref="D89">_xlfn.XLOOKUP(Table1[[#This Row],[Organisation Name
(Select in the dropdown list)]],Table18[[#All],[Organization]],Table18[[#All],[Acronym]],"",0)</f>
        <v/>
      </c>
      <c r="E89" s="26"/>
      <c r="F89" s="26"/>
      <c r="G89" s="26"/>
      <c r="H89" s="27"/>
      <c r="I89" s="27"/>
      <c r="J89" s="27"/>
      <c r="K89" s="27"/>
      <c r="L89" s="27"/>
      <c r="M89" s="27"/>
      <c r="N89" s="27"/>
      <c r="O89" s="27"/>
      <c r="P89" s="27"/>
      <c r="Q89" s="27"/>
      <c r="R89" s="28"/>
      <c r="S89" s="28"/>
      <c r="T89" s="28"/>
      <c r="U89" s="29" t="str">
        <f>IFERROR(VLOOKUP(Table1[[#This Row],[Activity
(Select in the dropdown list)]],Tbl_ActDet[[#All],[Activity]:[Indicators]],2,FALSE),"")</f>
        <v/>
      </c>
      <c r="V89" s="37" t="str" cm="1">
        <f t="array" ref="V89">IFERROR(INDEX(Tbl_ActDet[Units],MATCH(Table1[[#This Row],[WASH Domain
(Select in the dropdown list)]]&amp;Table1[[#This Row],[Activity
(Select in the dropdown list)]]&amp;Table1[[#This Row],[Indicators
(automatically filled)]],Tbl_ActDet[Domain]&amp;Tbl_ActDet[Activity]&amp;Tbl_ActDet[Indicators],0)),"")</f>
        <v/>
      </c>
      <c r="W89" s="37"/>
      <c r="X89" s="30"/>
      <c r="Y89" s="30"/>
      <c r="Z89" s="31"/>
      <c r="AA89" s="32"/>
      <c r="AB89" s="32"/>
      <c r="AC89" s="32"/>
      <c r="AD89" s="32"/>
      <c r="AE89" s="38">
        <f>SUM(Table1[[#This Row],['#Beneficiary
Boys]:['#Beneficiary
Women]])</f>
        <v>0</v>
      </c>
      <c r="AF89" s="44"/>
      <c r="AG89" s="44"/>
      <c r="AH89" s="45"/>
      <c r="AI89" s="43"/>
    </row>
    <row r="90" spans="1:35" x14ac:dyDescent="0.35">
      <c r="A90" s="25"/>
      <c r="B90" s="33"/>
      <c r="C90" s="26" t="s">
        <v>1749</v>
      </c>
      <c r="D90" s="54" t="str" cm="1">
        <f t="array" ref="D90">_xlfn.XLOOKUP(Table1[[#This Row],[Organisation Name
(Select in the dropdown list)]],Table18[[#All],[Organization]],Table18[[#All],[Acronym]],"",0)</f>
        <v/>
      </c>
      <c r="E90" s="26"/>
      <c r="F90" s="26"/>
      <c r="G90" s="26"/>
      <c r="H90" s="27"/>
      <c r="I90" s="27"/>
      <c r="J90" s="27"/>
      <c r="K90" s="27"/>
      <c r="L90" s="27"/>
      <c r="M90" s="27"/>
      <c r="N90" s="27"/>
      <c r="O90" s="27"/>
      <c r="P90" s="27"/>
      <c r="Q90" s="27"/>
      <c r="R90" s="28"/>
      <c r="S90" s="28"/>
      <c r="T90" s="28"/>
      <c r="U90" s="29" t="str">
        <f>IFERROR(VLOOKUP(Table1[[#This Row],[Activity
(Select in the dropdown list)]],Tbl_ActDet[[#All],[Activity]:[Indicators]],2,FALSE),"")</f>
        <v/>
      </c>
      <c r="V90" s="37" t="str" cm="1">
        <f t="array" ref="V90">IFERROR(INDEX(Tbl_ActDet[Units],MATCH(Table1[[#This Row],[WASH Domain
(Select in the dropdown list)]]&amp;Table1[[#This Row],[Activity
(Select in the dropdown list)]]&amp;Table1[[#This Row],[Indicators
(automatically filled)]],Tbl_ActDet[Domain]&amp;Tbl_ActDet[Activity]&amp;Tbl_ActDet[Indicators],0)),"")</f>
        <v/>
      </c>
      <c r="W90" s="37"/>
      <c r="X90" s="30"/>
      <c r="Y90" s="30"/>
      <c r="Z90" s="31"/>
      <c r="AA90" s="32"/>
      <c r="AB90" s="32"/>
      <c r="AC90" s="32"/>
      <c r="AD90" s="32"/>
      <c r="AE90" s="38">
        <f>SUM(Table1[[#This Row],['#Beneficiary
Boys]:['#Beneficiary
Women]])</f>
        <v>0</v>
      </c>
      <c r="AF90" s="44"/>
      <c r="AG90" s="44"/>
      <c r="AH90" s="45"/>
      <c r="AI90" s="43"/>
    </row>
    <row r="91" spans="1:35" x14ac:dyDescent="0.35">
      <c r="A91" s="25"/>
      <c r="B91" s="33"/>
      <c r="C91" s="26" t="s">
        <v>1749</v>
      </c>
      <c r="D91" s="54" t="str" cm="1">
        <f t="array" ref="D91">_xlfn.XLOOKUP(Table1[[#This Row],[Organisation Name
(Select in the dropdown list)]],Table18[[#All],[Organization]],Table18[[#All],[Acronym]],"",0)</f>
        <v/>
      </c>
      <c r="E91" s="26"/>
      <c r="F91" s="26"/>
      <c r="G91" s="26"/>
      <c r="H91" s="27"/>
      <c r="I91" s="27"/>
      <c r="J91" s="27"/>
      <c r="K91" s="27"/>
      <c r="L91" s="27"/>
      <c r="M91" s="27"/>
      <c r="N91" s="27"/>
      <c r="O91" s="27"/>
      <c r="P91" s="27"/>
      <c r="Q91" s="27"/>
      <c r="R91" s="28"/>
      <c r="S91" s="28"/>
      <c r="T91" s="28"/>
      <c r="U91" s="29" t="str">
        <f>IFERROR(VLOOKUP(Table1[[#This Row],[Activity
(Select in the dropdown list)]],Tbl_ActDet[[#All],[Activity]:[Indicators]],2,FALSE),"")</f>
        <v/>
      </c>
      <c r="V91" s="37" t="str" cm="1">
        <f t="array" ref="V91">IFERROR(INDEX(Tbl_ActDet[Units],MATCH(Table1[[#This Row],[WASH Domain
(Select in the dropdown list)]]&amp;Table1[[#This Row],[Activity
(Select in the dropdown list)]]&amp;Table1[[#This Row],[Indicators
(automatically filled)]],Tbl_ActDet[Domain]&amp;Tbl_ActDet[Activity]&amp;Tbl_ActDet[Indicators],0)),"")</f>
        <v/>
      </c>
      <c r="W91" s="37"/>
      <c r="X91" s="30"/>
      <c r="Y91" s="30"/>
      <c r="Z91" s="31"/>
      <c r="AA91" s="32"/>
      <c r="AB91" s="32"/>
      <c r="AC91" s="32"/>
      <c r="AD91" s="32"/>
      <c r="AE91" s="38">
        <f>SUM(Table1[[#This Row],['#Beneficiary
Boys]:['#Beneficiary
Women]])</f>
        <v>0</v>
      </c>
      <c r="AF91" s="44"/>
      <c r="AG91" s="44"/>
      <c r="AH91" s="45"/>
      <c r="AI91" s="43"/>
    </row>
    <row r="92" spans="1:35" x14ac:dyDescent="0.35">
      <c r="A92" s="25"/>
      <c r="B92" s="33"/>
      <c r="C92" s="26" t="s">
        <v>1749</v>
      </c>
      <c r="D92" s="54" t="str" cm="1">
        <f t="array" ref="D92">_xlfn.XLOOKUP(Table1[[#This Row],[Organisation Name
(Select in the dropdown list)]],Table18[[#All],[Organization]],Table18[[#All],[Acronym]],"",0)</f>
        <v/>
      </c>
      <c r="E92" s="26"/>
      <c r="F92" s="26"/>
      <c r="G92" s="26"/>
      <c r="H92" s="27"/>
      <c r="I92" s="27"/>
      <c r="J92" s="27"/>
      <c r="K92" s="27"/>
      <c r="L92" s="27"/>
      <c r="M92" s="27"/>
      <c r="N92" s="27"/>
      <c r="O92" s="27"/>
      <c r="P92" s="27"/>
      <c r="Q92" s="27"/>
      <c r="R92" s="28"/>
      <c r="S92" s="28"/>
      <c r="T92" s="28"/>
      <c r="U92" s="29" t="str">
        <f>IFERROR(VLOOKUP(Table1[[#This Row],[Activity
(Select in the dropdown list)]],Tbl_ActDet[[#All],[Activity]:[Indicators]],2,FALSE),"")</f>
        <v/>
      </c>
      <c r="V92" s="37" t="str" cm="1">
        <f t="array" ref="V92">IFERROR(INDEX(Tbl_ActDet[Units],MATCH(Table1[[#This Row],[WASH Domain
(Select in the dropdown list)]]&amp;Table1[[#This Row],[Activity
(Select in the dropdown list)]]&amp;Table1[[#This Row],[Indicators
(automatically filled)]],Tbl_ActDet[Domain]&amp;Tbl_ActDet[Activity]&amp;Tbl_ActDet[Indicators],0)),"")</f>
        <v/>
      </c>
      <c r="W92" s="37"/>
      <c r="X92" s="30"/>
      <c r="Y92" s="30"/>
      <c r="Z92" s="31"/>
      <c r="AA92" s="32"/>
      <c r="AB92" s="32"/>
      <c r="AC92" s="32"/>
      <c r="AD92" s="32"/>
      <c r="AE92" s="38">
        <f>SUM(Table1[[#This Row],['#Beneficiary
Boys]:['#Beneficiary
Women]])</f>
        <v>0</v>
      </c>
      <c r="AF92" s="44"/>
      <c r="AG92" s="44"/>
      <c r="AH92" s="45"/>
      <c r="AI92" s="43"/>
    </row>
    <row r="93" spans="1:35" x14ac:dyDescent="0.35">
      <c r="A93" s="25"/>
      <c r="B93" s="33"/>
      <c r="C93" s="26" t="s">
        <v>1749</v>
      </c>
      <c r="D93" s="54" t="str" cm="1">
        <f t="array" ref="D93">_xlfn.XLOOKUP(Table1[[#This Row],[Organisation Name
(Select in the dropdown list)]],Table18[[#All],[Organization]],Table18[[#All],[Acronym]],"",0)</f>
        <v/>
      </c>
      <c r="E93" s="26"/>
      <c r="F93" s="26"/>
      <c r="G93" s="26"/>
      <c r="H93" s="27"/>
      <c r="I93" s="27"/>
      <c r="J93" s="27"/>
      <c r="K93" s="27"/>
      <c r="L93" s="27"/>
      <c r="M93" s="27"/>
      <c r="N93" s="27"/>
      <c r="O93" s="27"/>
      <c r="P93" s="27"/>
      <c r="Q93" s="27"/>
      <c r="R93" s="28"/>
      <c r="S93" s="28"/>
      <c r="T93" s="28"/>
      <c r="U93" s="29" t="str">
        <f>IFERROR(VLOOKUP(Table1[[#This Row],[Activity
(Select in the dropdown list)]],Tbl_ActDet[[#All],[Activity]:[Indicators]],2,FALSE),"")</f>
        <v/>
      </c>
      <c r="V93" s="37" t="str" cm="1">
        <f t="array" ref="V93">IFERROR(INDEX(Tbl_ActDet[Units],MATCH(Table1[[#This Row],[WASH Domain
(Select in the dropdown list)]]&amp;Table1[[#This Row],[Activity
(Select in the dropdown list)]]&amp;Table1[[#This Row],[Indicators
(automatically filled)]],Tbl_ActDet[Domain]&amp;Tbl_ActDet[Activity]&amp;Tbl_ActDet[Indicators],0)),"")</f>
        <v/>
      </c>
      <c r="W93" s="37"/>
      <c r="X93" s="30"/>
      <c r="Y93" s="30"/>
      <c r="Z93" s="31"/>
      <c r="AA93" s="32"/>
      <c r="AB93" s="32"/>
      <c r="AC93" s="32"/>
      <c r="AD93" s="32"/>
      <c r="AE93" s="38">
        <f>SUM(Table1[[#This Row],['#Beneficiary
Boys]:['#Beneficiary
Women]])</f>
        <v>0</v>
      </c>
      <c r="AF93" s="44"/>
      <c r="AG93" s="44"/>
      <c r="AH93" s="45"/>
      <c r="AI93" s="43"/>
    </row>
    <row r="94" spans="1:35" x14ac:dyDescent="0.35">
      <c r="A94" s="25"/>
      <c r="B94" s="33"/>
      <c r="C94" s="26" t="s">
        <v>1749</v>
      </c>
      <c r="D94" s="54" t="str" cm="1">
        <f t="array" ref="D94">_xlfn.XLOOKUP(Table1[[#This Row],[Organisation Name
(Select in the dropdown list)]],Table18[[#All],[Organization]],Table18[[#All],[Acronym]],"",0)</f>
        <v/>
      </c>
      <c r="E94" s="26"/>
      <c r="F94" s="26"/>
      <c r="G94" s="26"/>
      <c r="H94" s="27"/>
      <c r="I94" s="27"/>
      <c r="J94" s="27"/>
      <c r="K94" s="27"/>
      <c r="L94" s="27"/>
      <c r="M94" s="27"/>
      <c r="N94" s="27"/>
      <c r="O94" s="27"/>
      <c r="P94" s="27"/>
      <c r="Q94" s="27"/>
      <c r="R94" s="28"/>
      <c r="S94" s="28"/>
      <c r="T94" s="28"/>
      <c r="U94" s="29" t="str">
        <f>IFERROR(VLOOKUP(Table1[[#This Row],[Activity
(Select in the dropdown list)]],Tbl_ActDet[[#All],[Activity]:[Indicators]],2,FALSE),"")</f>
        <v/>
      </c>
      <c r="V94" s="37" t="str" cm="1">
        <f t="array" ref="V94">IFERROR(INDEX(Tbl_ActDet[Units],MATCH(Table1[[#This Row],[WASH Domain
(Select in the dropdown list)]]&amp;Table1[[#This Row],[Activity
(Select in the dropdown list)]]&amp;Table1[[#This Row],[Indicators
(automatically filled)]],Tbl_ActDet[Domain]&amp;Tbl_ActDet[Activity]&amp;Tbl_ActDet[Indicators],0)),"")</f>
        <v/>
      </c>
      <c r="W94" s="37"/>
      <c r="X94" s="30"/>
      <c r="Y94" s="30"/>
      <c r="Z94" s="31"/>
      <c r="AA94" s="32"/>
      <c r="AB94" s="32"/>
      <c r="AC94" s="32"/>
      <c r="AD94" s="32"/>
      <c r="AE94" s="38">
        <f>SUM(Table1[[#This Row],['#Beneficiary
Boys]:['#Beneficiary
Women]])</f>
        <v>0</v>
      </c>
      <c r="AF94" s="44"/>
      <c r="AG94" s="44"/>
      <c r="AH94" s="45"/>
      <c r="AI94" s="43"/>
    </row>
    <row r="95" spans="1:35" x14ac:dyDescent="0.35">
      <c r="A95" s="25"/>
      <c r="B95" s="33"/>
      <c r="C95" s="26" t="s">
        <v>1749</v>
      </c>
      <c r="D95" s="54" t="str" cm="1">
        <f t="array" ref="D95">_xlfn.XLOOKUP(Table1[[#This Row],[Organisation Name
(Select in the dropdown list)]],Table18[[#All],[Organization]],Table18[[#All],[Acronym]],"",0)</f>
        <v/>
      </c>
      <c r="E95" s="26"/>
      <c r="F95" s="26"/>
      <c r="G95" s="26"/>
      <c r="H95" s="27"/>
      <c r="I95" s="27"/>
      <c r="J95" s="27"/>
      <c r="K95" s="27"/>
      <c r="L95" s="27"/>
      <c r="M95" s="27"/>
      <c r="N95" s="27"/>
      <c r="O95" s="27"/>
      <c r="P95" s="27"/>
      <c r="Q95" s="27"/>
      <c r="R95" s="28"/>
      <c r="S95" s="28"/>
      <c r="T95" s="28"/>
      <c r="U95" s="29" t="str">
        <f>IFERROR(VLOOKUP(Table1[[#This Row],[Activity
(Select in the dropdown list)]],Tbl_ActDet[[#All],[Activity]:[Indicators]],2,FALSE),"")</f>
        <v/>
      </c>
      <c r="V95" s="37" t="str" cm="1">
        <f t="array" ref="V95">IFERROR(INDEX(Tbl_ActDet[Units],MATCH(Table1[[#This Row],[WASH Domain
(Select in the dropdown list)]]&amp;Table1[[#This Row],[Activity
(Select in the dropdown list)]]&amp;Table1[[#This Row],[Indicators
(automatically filled)]],Tbl_ActDet[Domain]&amp;Tbl_ActDet[Activity]&amp;Tbl_ActDet[Indicators],0)),"")</f>
        <v/>
      </c>
      <c r="W95" s="37"/>
      <c r="X95" s="30"/>
      <c r="Y95" s="30"/>
      <c r="Z95" s="31"/>
      <c r="AA95" s="32"/>
      <c r="AB95" s="32"/>
      <c r="AC95" s="32"/>
      <c r="AD95" s="32"/>
      <c r="AE95" s="38">
        <f>SUM(Table1[[#This Row],['#Beneficiary
Boys]:['#Beneficiary
Women]])</f>
        <v>0</v>
      </c>
      <c r="AF95" s="44"/>
      <c r="AG95" s="44"/>
      <c r="AH95" s="45"/>
      <c r="AI95" s="43"/>
    </row>
    <row r="96" spans="1:35" x14ac:dyDescent="0.35">
      <c r="A96" s="25"/>
      <c r="B96" s="33"/>
      <c r="C96" s="26" t="s">
        <v>1749</v>
      </c>
      <c r="D96" s="54" t="str" cm="1">
        <f t="array" ref="D96">_xlfn.XLOOKUP(Table1[[#This Row],[Organisation Name
(Select in the dropdown list)]],Table18[[#All],[Organization]],Table18[[#All],[Acronym]],"",0)</f>
        <v/>
      </c>
      <c r="E96" s="26"/>
      <c r="F96" s="26"/>
      <c r="G96" s="26"/>
      <c r="H96" s="27"/>
      <c r="I96" s="27"/>
      <c r="J96" s="27"/>
      <c r="K96" s="27"/>
      <c r="L96" s="27"/>
      <c r="M96" s="27"/>
      <c r="N96" s="27"/>
      <c r="O96" s="27"/>
      <c r="P96" s="27"/>
      <c r="Q96" s="27"/>
      <c r="R96" s="28"/>
      <c r="S96" s="28"/>
      <c r="T96" s="28"/>
      <c r="U96" s="29" t="str">
        <f>IFERROR(VLOOKUP(Table1[[#This Row],[Activity
(Select in the dropdown list)]],Tbl_ActDet[[#All],[Activity]:[Indicators]],2,FALSE),"")</f>
        <v/>
      </c>
      <c r="V96" s="37" t="str" cm="1">
        <f t="array" ref="V96">IFERROR(INDEX(Tbl_ActDet[Units],MATCH(Table1[[#This Row],[WASH Domain
(Select in the dropdown list)]]&amp;Table1[[#This Row],[Activity
(Select in the dropdown list)]]&amp;Table1[[#This Row],[Indicators
(automatically filled)]],Tbl_ActDet[Domain]&amp;Tbl_ActDet[Activity]&amp;Tbl_ActDet[Indicators],0)),"")</f>
        <v/>
      </c>
      <c r="W96" s="37"/>
      <c r="X96" s="30"/>
      <c r="Y96" s="30"/>
      <c r="Z96" s="31"/>
      <c r="AA96" s="32"/>
      <c r="AB96" s="32"/>
      <c r="AC96" s="32"/>
      <c r="AD96" s="32"/>
      <c r="AE96" s="38">
        <f>SUM(Table1[[#This Row],['#Beneficiary
Boys]:['#Beneficiary
Women]])</f>
        <v>0</v>
      </c>
      <c r="AF96" s="44"/>
      <c r="AG96" s="44"/>
      <c r="AH96" s="45"/>
      <c r="AI96" s="43"/>
    </row>
    <row r="97" spans="1:35" x14ac:dyDescent="0.35">
      <c r="A97" s="25"/>
      <c r="B97" s="33"/>
      <c r="C97" s="26" t="s">
        <v>1749</v>
      </c>
      <c r="D97" s="54" t="str" cm="1">
        <f t="array" ref="D97">_xlfn.XLOOKUP(Table1[[#This Row],[Organisation Name
(Select in the dropdown list)]],Table18[[#All],[Organization]],Table18[[#All],[Acronym]],"",0)</f>
        <v/>
      </c>
      <c r="E97" s="26"/>
      <c r="F97" s="26"/>
      <c r="G97" s="26"/>
      <c r="H97" s="27"/>
      <c r="I97" s="27"/>
      <c r="J97" s="27"/>
      <c r="K97" s="27"/>
      <c r="L97" s="27"/>
      <c r="M97" s="27"/>
      <c r="N97" s="27"/>
      <c r="O97" s="27"/>
      <c r="P97" s="27"/>
      <c r="Q97" s="27"/>
      <c r="R97" s="28"/>
      <c r="S97" s="28"/>
      <c r="T97" s="28"/>
      <c r="U97" s="29" t="str">
        <f>IFERROR(VLOOKUP(Table1[[#This Row],[Activity
(Select in the dropdown list)]],Tbl_ActDet[[#All],[Activity]:[Indicators]],2,FALSE),"")</f>
        <v/>
      </c>
      <c r="V97" s="37" t="str" cm="1">
        <f t="array" ref="V97">IFERROR(INDEX(Tbl_ActDet[Units],MATCH(Table1[[#This Row],[WASH Domain
(Select in the dropdown list)]]&amp;Table1[[#This Row],[Activity
(Select in the dropdown list)]]&amp;Table1[[#This Row],[Indicators
(automatically filled)]],Tbl_ActDet[Domain]&amp;Tbl_ActDet[Activity]&amp;Tbl_ActDet[Indicators],0)),"")</f>
        <v/>
      </c>
      <c r="W97" s="37"/>
      <c r="X97" s="30"/>
      <c r="Y97" s="30"/>
      <c r="Z97" s="31"/>
      <c r="AA97" s="32"/>
      <c r="AB97" s="32"/>
      <c r="AC97" s="32"/>
      <c r="AD97" s="32"/>
      <c r="AE97" s="38">
        <f>SUM(Table1[[#This Row],['#Beneficiary
Boys]:['#Beneficiary
Women]])</f>
        <v>0</v>
      </c>
      <c r="AF97" s="44"/>
      <c r="AG97" s="44"/>
      <c r="AH97" s="45"/>
      <c r="AI97" s="43"/>
    </row>
    <row r="98" spans="1:35" x14ac:dyDescent="0.35">
      <c r="A98" s="25"/>
      <c r="B98" s="33"/>
      <c r="C98" s="26" t="s">
        <v>1749</v>
      </c>
      <c r="D98" s="54" t="str" cm="1">
        <f t="array" ref="D98">_xlfn.XLOOKUP(Table1[[#This Row],[Organisation Name
(Select in the dropdown list)]],Table18[[#All],[Organization]],Table18[[#All],[Acronym]],"",0)</f>
        <v/>
      </c>
      <c r="E98" s="26"/>
      <c r="F98" s="26"/>
      <c r="G98" s="26"/>
      <c r="H98" s="27"/>
      <c r="I98" s="27"/>
      <c r="J98" s="27"/>
      <c r="K98" s="27"/>
      <c r="L98" s="27"/>
      <c r="M98" s="27"/>
      <c r="N98" s="27"/>
      <c r="O98" s="27"/>
      <c r="P98" s="27"/>
      <c r="Q98" s="27"/>
      <c r="R98" s="28"/>
      <c r="S98" s="28"/>
      <c r="T98" s="28"/>
      <c r="U98" s="29" t="str">
        <f>IFERROR(VLOOKUP(Table1[[#This Row],[Activity
(Select in the dropdown list)]],Tbl_ActDet[[#All],[Activity]:[Indicators]],2,FALSE),"")</f>
        <v/>
      </c>
      <c r="V98" s="37" t="str" cm="1">
        <f t="array" ref="V98">IFERROR(INDEX(Tbl_ActDet[Units],MATCH(Table1[[#This Row],[WASH Domain
(Select in the dropdown list)]]&amp;Table1[[#This Row],[Activity
(Select in the dropdown list)]]&amp;Table1[[#This Row],[Indicators
(automatically filled)]],Tbl_ActDet[Domain]&amp;Tbl_ActDet[Activity]&amp;Tbl_ActDet[Indicators],0)),"")</f>
        <v/>
      </c>
      <c r="W98" s="37"/>
      <c r="X98" s="30"/>
      <c r="Y98" s="30"/>
      <c r="Z98" s="31"/>
      <c r="AA98" s="32"/>
      <c r="AB98" s="32"/>
      <c r="AC98" s="32"/>
      <c r="AD98" s="32"/>
      <c r="AE98" s="38">
        <f>SUM(Table1[[#This Row],['#Beneficiary
Boys]:['#Beneficiary
Women]])</f>
        <v>0</v>
      </c>
      <c r="AF98" s="44"/>
      <c r="AG98" s="44"/>
      <c r="AH98" s="45"/>
      <c r="AI98" s="43"/>
    </row>
    <row r="99" spans="1:35" x14ac:dyDescent="0.35">
      <c r="A99" s="25"/>
      <c r="B99" s="33"/>
      <c r="C99" s="26" t="s">
        <v>1749</v>
      </c>
      <c r="D99" s="54" t="str" cm="1">
        <f t="array" ref="D99">_xlfn.XLOOKUP(Table1[[#This Row],[Organisation Name
(Select in the dropdown list)]],Table18[[#All],[Organization]],Table18[[#All],[Acronym]],"",0)</f>
        <v/>
      </c>
      <c r="E99" s="26"/>
      <c r="F99" s="26"/>
      <c r="G99" s="26"/>
      <c r="H99" s="27"/>
      <c r="I99" s="27"/>
      <c r="J99" s="27"/>
      <c r="K99" s="27"/>
      <c r="L99" s="27"/>
      <c r="M99" s="27"/>
      <c r="N99" s="27"/>
      <c r="O99" s="27"/>
      <c r="P99" s="27"/>
      <c r="Q99" s="27"/>
      <c r="R99" s="28"/>
      <c r="S99" s="28"/>
      <c r="T99" s="28"/>
      <c r="U99" s="29" t="str">
        <f>IFERROR(VLOOKUP(Table1[[#This Row],[Activity
(Select in the dropdown list)]],Tbl_ActDet[[#All],[Activity]:[Indicators]],2,FALSE),"")</f>
        <v/>
      </c>
      <c r="V99" s="37" t="str" cm="1">
        <f t="array" ref="V99">IFERROR(INDEX(Tbl_ActDet[Units],MATCH(Table1[[#This Row],[WASH Domain
(Select in the dropdown list)]]&amp;Table1[[#This Row],[Activity
(Select in the dropdown list)]]&amp;Table1[[#This Row],[Indicators
(automatically filled)]],Tbl_ActDet[Domain]&amp;Tbl_ActDet[Activity]&amp;Tbl_ActDet[Indicators],0)),"")</f>
        <v/>
      </c>
      <c r="W99" s="37"/>
      <c r="X99" s="30"/>
      <c r="Y99" s="30"/>
      <c r="Z99" s="31"/>
      <c r="AA99" s="32"/>
      <c r="AB99" s="32"/>
      <c r="AC99" s="32"/>
      <c r="AD99" s="32"/>
      <c r="AE99" s="38">
        <f>SUM(Table1[[#This Row],['#Beneficiary
Boys]:['#Beneficiary
Women]])</f>
        <v>0</v>
      </c>
      <c r="AF99" s="44"/>
      <c r="AG99" s="44"/>
      <c r="AH99" s="45"/>
      <c r="AI99" s="43"/>
    </row>
    <row r="100" spans="1:35" x14ac:dyDescent="0.35">
      <c r="A100" s="25"/>
      <c r="B100" s="33"/>
      <c r="C100" s="26" t="s">
        <v>1749</v>
      </c>
      <c r="D100" s="54" t="str" cm="1">
        <f t="array" ref="D100">_xlfn.XLOOKUP(Table1[[#This Row],[Organisation Name
(Select in the dropdown list)]],Table18[[#All],[Organization]],Table18[[#All],[Acronym]],"",0)</f>
        <v/>
      </c>
      <c r="E100" s="26"/>
      <c r="F100" s="26"/>
      <c r="G100" s="26"/>
      <c r="H100" s="27"/>
      <c r="I100" s="27"/>
      <c r="J100" s="27"/>
      <c r="K100" s="27"/>
      <c r="L100" s="27"/>
      <c r="M100" s="27"/>
      <c r="N100" s="27"/>
      <c r="O100" s="27"/>
      <c r="P100" s="27"/>
      <c r="Q100" s="27"/>
      <c r="R100" s="28"/>
      <c r="S100" s="28"/>
      <c r="T100" s="28"/>
      <c r="U100" s="29" t="str">
        <f>IFERROR(VLOOKUP(Table1[[#This Row],[Activity
(Select in the dropdown list)]],Tbl_ActDet[[#All],[Activity]:[Indicators]],2,FALSE),"")</f>
        <v/>
      </c>
      <c r="V100" s="37" t="str" cm="1">
        <f t="array" ref="V100">IFERROR(INDEX(Tbl_ActDet[Units],MATCH(Table1[[#This Row],[WASH Domain
(Select in the dropdown list)]]&amp;Table1[[#This Row],[Activity
(Select in the dropdown list)]]&amp;Table1[[#This Row],[Indicators
(automatically filled)]],Tbl_ActDet[Domain]&amp;Tbl_ActDet[Activity]&amp;Tbl_ActDet[Indicators],0)),"")</f>
        <v/>
      </c>
      <c r="W100" s="37"/>
      <c r="X100" s="30"/>
      <c r="Y100" s="30"/>
      <c r="Z100" s="31"/>
      <c r="AA100" s="32"/>
      <c r="AB100" s="32"/>
      <c r="AC100" s="32"/>
      <c r="AD100" s="32"/>
      <c r="AE100" s="38">
        <f>SUM(Table1[[#This Row],['#Beneficiary
Boys]:['#Beneficiary
Women]])</f>
        <v>0</v>
      </c>
      <c r="AF100" s="44"/>
      <c r="AG100" s="44"/>
      <c r="AH100" s="45"/>
      <c r="AI100" s="43"/>
    </row>
    <row r="101" spans="1:35" x14ac:dyDescent="0.35">
      <c r="A101" s="25"/>
      <c r="B101" s="33"/>
      <c r="C101" s="26" t="s">
        <v>1749</v>
      </c>
      <c r="D101" s="54" t="str" cm="1">
        <f t="array" ref="D101">_xlfn.XLOOKUP(Table1[[#This Row],[Organisation Name
(Select in the dropdown list)]],Table18[[#All],[Organization]],Table18[[#All],[Acronym]],"",0)</f>
        <v/>
      </c>
      <c r="E101" s="26"/>
      <c r="F101" s="26"/>
      <c r="G101" s="26"/>
      <c r="H101" s="27"/>
      <c r="I101" s="27"/>
      <c r="J101" s="27"/>
      <c r="K101" s="27"/>
      <c r="L101" s="27"/>
      <c r="M101" s="27"/>
      <c r="N101" s="27"/>
      <c r="O101" s="27"/>
      <c r="P101" s="27"/>
      <c r="Q101" s="27"/>
      <c r="R101" s="28"/>
      <c r="S101" s="28"/>
      <c r="T101" s="28"/>
      <c r="U101" s="29" t="str">
        <f>IFERROR(VLOOKUP(Table1[[#This Row],[Activity
(Select in the dropdown list)]],Tbl_ActDet[[#All],[Activity]:[Indicators]],2,FALSE),"")</f>
        <v/>
      </c>
      <c r="V101" s="37" t="str" cm="1">
        <f t="array" ref="V101">IFERROR(INDEX(Tbl_ActDet[Units],MATCH(Table1[[#This Row],[WASH Domain
(Select in the dropdown list)]]&amp;Table1[[#This Row],[Activity
(Select in the dropdown list)]]&amp;Table1[[#This Row],[Indicators
(automatically filled)]],Tbl_ActDet[Domain]&amp;Tbl_ActDet[Activity]&amp;Tbl_ActDet[Indicators],0)),"")</f>
        <v/>
      </c>
      <c r="W101" s="37"/>
      <c r="X101" s="30"/>
      <c r="Y101" s="30"/>
      <c r="Z101" s="31"/>
      <c r="AA101" s="32"/>
      <c r="AB101" s="32"/>
      <c r="AC101" s="32"/>
      <c r="AD101" s="32"/>
      <c r="AE101" s="38">
        <f>SUM(Table1[[#This Row],['#Beneficiary
Boys]:['#Beneficiary
Women]])</f>
        <v>0</v>
      </c>
      <c r="AF101" s="44"/>
      <c r="AG101" s="44"/>
      <c r="AH101" s="45"/>
      <c r="AI101" s="43"/>
    </row>
    <row r="102" spans="1:35" x14ac:dyDescent="0.35">
      <c r="A102" s="25"/>
      <c r="B102" s="33"/>
      <c r="C102" s="26" t="s">
        <v>1749</v>
      </c>
      <c r="D102" s="54" t="str" cm="1">
        <f t="array" ref="D102">_xlfn.XLOOKUP(Table1[[#This Row],[Organisation Name
(Select in the dropdown list)]],Table18[[#All],[Organization]],Table18[[#All],[Acronym]],"",0)</f>
        <v/>
      </c>
      <c r="E102" s="26"/>
      <c r="F102" s="26"/>
      <c r="G102" s="26"/>
      <c r="H102" s="27"/>
      <c r="I102" s="27"/>
      <c r="J102" s="27"/>
      <c r="K102" s="27"/>
      <c r="L102" s="27"/>
      <c r="M102" s="27"/>
      <c r="N102" s="27"/>
      <c r="O102" s="27"/>
      <c r="P102" s="27"/>
      <c r="Q102" s="27"/>
      <c r="R102" s="28"/>
      <c r="S102" s="28"/>
      <c r="T102" s="28"/>
      <c r="U102" s="29" t="str">
        <f>IFERROR(VLOOKUP(Table1[[#This Row],[Activity
(Select in the dropdown list)]],Tbl_ActDet[[#All],[Activity]:[Indicators]],2,FALSE),"")</f>
        <v/>
      </c>
      <c r="V102" s="37" t="str" cm="1">
        <f t="array" ref="V102">IFERROR(INDEX(Tbl_ActDet[Units],MATCH(Table1[[#This Row],[WASH Domain
(Select in the dropdown list)]]&amp;Table1[[#This Row],[Activity
(Select in the dropdown list)]]&amp;Table1[[#This Row],[Indicators
(automatically filled)]],Tbl_ActDet[Domain]&amp;Tbl_ActDet[Activity]&amp;Tbl_ActDet[Indicators],0)),"")</f>
        <v/>
      </c>
      <c r="W102" s="37"/>
      <c r="X102" s="30"/>
      <c r="Y102" s="30"/>
      <c r="Z102" s="31"/>
      <c r="AA102" s="32"/>
      <c r="AB102" s="32"/>
      <c r="AC102" s="32"/>
      <c r="AD102" s="32"/>
      <c r="AE102" s="38">
        <f>SUM(Table1[[#This Row],['#Beneficiary
Boys]:['#Beneficiary
Women]])</f>
        <v>0</v>
      </c>
      <c r="AF102" s="44"/>
      <c r="AG102" s="44"/>
      <c r="AH102" s="45"/>
      <c r="AI102" s="43"/>
    </row>
    <row r="103" spans="1:35" x14ac:dyDescent="0.35">
      <c r="A103" s="25"/>
      <c r="B103" s="33"/>
      <c r="C103" s="26" t="s">
        <v>1749</v>
      </c>
      <c r="D103" s="54" t="str" cm="1">
        <f t="array" ref="D103">_xlfn.XLOOKUP(Table1[[#This Row],[Organisation Name
(Select in the dropdown list)]],Table18[[#All],[Organization]],Table18[[#All],[Acronym]],"",0)</f>
        <v/>
      </c>
      <c r="E103" s="26"/>
      <c r="F103" s="26"/>
      <c r="G103" s="26"/>
      <c r="H103" s="27"/>
      <c r="I103" s="27"/>
      <c r="J103" s="27"/>
      <c r="K103" s="27"/>
      <c r="L103" s="27"/>
      <c r="M103" s="27"/>
      <c r="N103" s="27"/>
      <c r="O103" s="27"/>
      <c r="P103" s="27"/>
      <c r="Q103" s="27"/>
      <c r="R103" s="28"/>
      <c r="S103" s="28"/>
      <c r="T103" s="28"/>
      <c r="U103" s="29" t="str">
        <f>IFERROR(VLOOKUP(Table1[[#This Row],[Activity
(Select in the dropdown list)]],Tbl_ActDet[[#All],[Activity]:[Indicators]],2,FALSE),"")</f>
        <v/>
      </c>
      <c r="V103" s="37" t="str" cm="1">
        <f t="array" ref="V103">IFERROR(INDEX(Tbl_ActDet[Units],MATCH(Table1[[#This Row],[WASH Domain
(Select in the dropdown list)]]&amp;Table1[[#This Row],[Activity
(Select in the dropdown list)]]&amp;Table1[[#This Row],[Indicators
(automatically filled)]],Tbl_ActDet[Domain]&amp;Tbl_ActDet[Activity]&amp;Tbl_ActDet[Indicators],0)),"")</f>
        <v/>
      </c>
      <c r="W103" s="37"/>
      <c r="X103" s="30"/>
      <c r="Y103" s="30"/>
      <c r="Z103" s="31"/>
      <c r="AA103" s="32"/>
      <c r="AB103" s="32"/>
      <c r="AC103" s="32"/>
      <c r="AD103" s="32"/>
      <c r="AE103" s="38">
        <f>SUM(Table1[[#This Row],['#Beneficiary
Boys]:['#Beneficiary
Women]])</f>
        <v>0</v>
      </c>
      <c r="AF103" s="44"/>
      <c r="AG103" s="44"/>
      <c r="AH103" s="45"/>
      <c r="AI103" s="43"/>
    </row>
    <row r="104" spans="1:35" x14ac:dyDescent="0.35">
      <c r="A104" s="25"/>
      <c r="B104" s="33"/>
      <c r="C104" s="26" t="s">
        <v>1749</v>
      </c>
      <c r="D104" s="54" t="str" cm="1">
        <f t="array" ref="D104">_xlfn.XLOOKUP(Table1[[#This Row],[Organisation Name
(Select in the dropdown list)]],Table18[[#All],[Organization]],Table18[[#All],[Acronym]],"",0)</f>
        <v/>
      </c>
      <c r="E104" s="26"/>
      <c r="F104" s="26"/>
      <c r="G104" s="26"/>
      <c r="H104" s="27"/>
      <c r="I104" s="27"/>
      <c r="J104" s="27"/>
      <c r="K104" s="27"/>
      <c r="L104" s="27"/>
      <c r="M104" s="27"/>
      <c r="N104" s="27"/>
      <c r="O104" s="27"/>
      <c r="P104" s="27"/>
      <c r="Q104" s="27"/>
      <c r="R104" s="28"/>
      <c r="S104" s="28"/>
      <c r="T104" s="28"/>
      <c r="U104" s="29" t="str">
        <f>IFERROR(VLOOKUP(Table1[[#This Row],[Activity
(Select in the dropdown list)]],Tbl_ActDet[[#All],[Activity]:[Indicators]],2,FALSE),"")</f>
        <v/>
      </c>
      <c r="V104" s="37" t="str" cm="1">
        <f t="array" ref="V104">IFERROR(INDEX(Tbl_ActDet[Units],MATCH(Table1[[#This Row],[WASH Domain
(Select in the dropdown list)]]&amp;Table1[[#This Row],[Activity
(Select in the dropdown list)]]&amp;Table1[[#This Row],[Indicators
(automatically filled)]],Tbl_ActDet[Domain]&amp;Tbl_ActDet[Activity]&amp;Tbl_ActDet[Indicators],0)),"")</f>
        <v/>
      </c>
      <c r="W104" s="37"/>
      <c r="X104" s="30"/>
      <c r="Y104" s="30"/>
      <c r="Z104" s="31"/>
      <c r="AA104" s="32"/>
      <c r="AB104" s="32"/>
      <c r="AC104" s="32"/>
      <c r="AD104" s="32"/>
      <c r="AE104" s="38">
        <f>SUM(Table1[[#This Row],['#Beneficiary
Boys]:['#Beneficiary
Women]])</f>
        <v>0</v>
      </c>
      <c r="AF104" s="44"/>
      <c r="AG104" s="44"/>
      <c r="AH104" s="45"/>
      <c r="AI104" s="43"/>
    </row>
    <row r="105" spans="1:35" x14ac:dyDescent="0.35">
      <c r="A105" s="25"/>
      <c r="B105" s="33"/>
      <c r="C105" s="26" t="s">
        <v>1749</v>
      </c>
      <c r="D105" s="54" t="str" cm="1">
        <f t="array" ref="D105">_xlfn.XLOOKUP(Table1[[#This Row],[Organisation Name
(Select in the dropdown list)]],Table18[[#All],[Organization]],Table18[[#All],[Acronym]],"",0)</f>
        <v/>
      </c>
      <c r="E105" s="26"/>
      <c r="F105" s="26"/>
      <c r="G105" s="26"/>
      <c r="H105" s="27"/>
      <c r="I105" s="27"/>
      <c r="J105" s="27"/>
      <c r="K105" s="27"/>
      <c r="L105" s="27"/>
      <c r="M105" s="27"/>
      <c r="N105" s="27"/>
      <c r="O105" s="27"/>
      <c r="P105" s="27"/>
      <c r="Q105" s="27"/>
      <c r="R105" s="28"/>
      <c r="S105" s="28"/>
      <c r="T105" s="28"/>
      <c r="U105" s="29" t="str">
        <f>IFERROR(VLOOKUP(Table1[[#This Row],[Activity
(Select in the dropdown list)]],Tbl_ActDet[[#All],[Activity]:[Indicators]],2,FALSE),"")</f>
        <v/>
      </c>
      <c r="V105" s="37" t="str" cm="1">
        <f t="array" ref="V105">IFERROR(INDEX(Tbl_ActDet[Units],MATCH(Table1[[#This Row],[WASH Domain
(Select in the dropdown list)]]&amp;Table1[[#This Row],[Activity
(Select in the dropdown list)]]&amp;Table1[[#This Row],[Indicators
(automatically filled)]],Tbl_ActDet[Domain]&amp;Tbl_ActDet[Activity]&amp;Tbl_ActDet[Indicators],0)),"")</f>
        <v/>
      </c>
      <c r="W105" s="37"/>
      <c r="X105" s="30"/>
      <c r="Y105" s="30"/>
      <c r="Z105" s="31"/>
      <c r="AA105" s="32"/>
      <c r="AB105" s="32"/>
      <c r="AC105" s="32"/>
      <c r="AD105" s="32"/>
      <c r="AE105" s="38">
        <f>SUM(Table1[[#This Row],['#Beneficiary
Boys]:['#Beneficiary
Women]])</f>
        <v>0</v>
      </c>
      <c r="AF105" s="44"/>
      <c r="AG105" s="44"/>
      <c r="AH105" s="45"/>
      <c r="AI105" s="43"/>
    </row>
    <row r="106" spans="1:35" x14ac:dyDescent="0.35">
      <c r="A106" s="25"/>
      <c r="B106" s="33"/>
      <c r="C106" s="26" t="s">
        <v>1749</v>
      </c>
      <c r="D106" s="54" t="str" cm="1">
        <f t="array" ref="D106">_xlfn.XLOOKUP(Table1[[#This Row],[Organisation Name
(Select in the dropdown list)]],Table18[[#All],[Organization]],Table18[[#All],[Acronym]],"",0)</f>
        <v/>
      </c>
      <c r="E106" s="26"/>
      <c r="F106" s="26"/>
      <c r="G106" s="26"/>
      <c r="H106" s="27"/>
      <c r="I106" s="27"/>
      <c r="J106" s="27"/>
      <c r="K106" s="27"/>
      <c r="L106" s="27"/>
      <c r="M106" s="27"/>
      <c r="N106" s="27"/>
      <c r="O106" s="27"/>
      <c r="P106" s="27"/>
      <c r="Q106" s="27"/>
      <c r="R106" s="28"/>
      <c r="S106" s="28"/>
      <c r="T106" s="28"/>
      <c r="U106" s="29" t="str">
        <f>IFERROR(VLOOKUP(Table1[[#This Row],[Activity
(Select in the dropdown list)]],Tbl_ActDet[[#All],[Activity]:[Indicators]],2,FALSE),"")</f>
        <v/>
      </c>
      <c r="V106" s="37" t="str" cm="1">
        <f t="array" ref="V106">IFERROR(INDEX(Tbl_ActDet[Units],MATCH(Table1[[#This Row],[WASH Domain
(Select in the dropdown list)]]&amp;Table1[[#This Row],[Activity
(Select in the dropdown list)]]&amp;Table1[[#This Row],[Indicators
(automatically filled)]],Tbl_ActDet[Domain]&amp;Tbl_ActDet[Activity]&amp;Tbl_ActDet[Indicators],0)),"")</f>
        <v/>
      </c>
      <c r="W106" s="37"/>
      <c r="X106" s="30"/>
      <c r="Y106" s="30"/>
      <c r="Z106" s="31"/>
      <c r="AA106" s="32"/>
      <c r="AB106" s="32"/>
      <c r="AC106" s="32"/>
      <c r="AD106" s="32"/>
      <c r="AE106" s="38">
        <f>SUM(Table1[[#This Row],['#Beneficiary
Boys]:['#Beneficiary
Women]])</f>
        <v>0</v>
      </c>
      <c r="AF106" s="44"/>
      <c r="AG106" s="44"/>
      <c r="AH106" s="45"/>
      <c r="AI106" s="43"/>
    </row>
    <row r="107" spans="1:35" x14ac:dyDescent="0.35">
      <c r="A107" s="25"/>
      <c r="B107" s="33"/>
      <c r="C107" s="26" t="s">
        <v>1749</v>
      </c>
      <c r="D107" s="54" t="str" cm="1">
        <f t="array" ref="D107">_xlfn.XLOOKUP(Table1[[#This Row],[Organisation Name
(Select in the dropdown list)]],Table18[[#All],[Organization]],Table18[[#All],[Acronym]],"",0)</f>
        <v/>
      </c>
      <c r="E107" s="26"/>
      <c r="F107" s="26"/>
      <c r="G107" s="26"/>
      <c r="H107" s="27"/>
      <c r="I107" s="27"/>
      <c r="J107" s="27"/>
      <c r="K107" s="27"/>
      <c r="L107" s="27"/>
      <c r="M107" s="27"/>
      <c r="N107" s="27"/>
      <c r="O107" s="27"/>
      <c r="P107" s="27"/>
      <c r="Q107" s="27"/>
      <c r="R107" s="28"/>
      <c r="S107" s="28"/>
      <c r="T107" s="28"/>
      <c r="U107" s="29" t="str">
        <f>IFERROR(VLOOKUP(Table1[[#This Row],[Activity
(Select in the dropdown list)]],Tbl_ActDet[[#All],[Activity]:[Indicators]],2,FALSE),"")</f>
        <v/>
      </c>
      <c r="V107" s="37" t="str" cm="1">
        <f t="array" ref="V107">IFERROR(INDEX(Tbl_ActDet[Units],MATCH(Table1[[#This Row],[WASH Domain
(Select in the dropdown list)]]&amp;Table1[[#This Row],[Activity
(Select in the dropdown list)]]&amp;Table1[[#This Row],[Indicators
(automatically filled)]],Tbl_ActDet[Domain]&amp;Tbl_ActDet[Activity]&amp;Tbl_ActDet[Indicators],0)),"")</f>
        <v/>
      </c>
      <c r="W107" s="37"/>
      <c r="X107" s="30"/>
      <c r="Y107" s="30"/>
      <c r="Z107" s="31"/>
      <c r="AA107" s="32"/>
      <c r="AB107" s="32"/>
      <c r="AC107" s="32"/>
      <c r="AD107" s="32"/>
      <c r="AE107" s="38">
        <f>SUM(Table1[[#This Row],['#Beneficiary
Boys]:['#Beneficiary
Women]])</f>
        <v>0</v>
      </c>
      <c r="AF107" s="44"/>
      <c r="AG107" s="44"/>
      <c r="AH107" s="45"/>
      <c r="AI107" s="43"/>
    </row>
    <row r="108" spans="1:35" x14ac:dyDescent="0.35">
      <c r="A108" s="25"/>
      <c r="B108" s="33"/>
      <c r="C108" s="26" t="s">
        <v>1749</v>
      </c>
      <c r="D108" s="54" t="str" cm="1">
        <f t="array" ref="D108">_xlfn.XLOOKUP(Table1[[#This Row],[Organisation Name
(Select in the dropdown list)]],Table18[[#All],[Organization]],Table18[[#All],[Acronym]],"",0)</f>
        <v/>
      </c>
      <c r="E108" s="26"/>
      <c r="F108" s="26"/>
      <c r="G108" s="26"/>
      <c r="H108" s="27"/>
      <c r="I108" s="27"/>
      <c r="J108" s="27"/>
      <c r="K108" s="27"/>
      <c r="L108" s="27"/>
      <c r="M108" s="27"/>
      <c r="N108" s="27"/>
      <c r="O108" s="27"/>
      <c r="P108" s="27"/>
      <c r="Q108" s="27"/>
      <c r="R108" s="28"/>
      <c r="S108" s="28"/>
      <c r="T108" s="28"/>
      <c r="U108" s="29" t="str">
        <f>IFERROR(VLOOKUP(Table1[[#This Row],[Activity
(Select in the dropdown list)]],Tbl_ActDet[[#All],[Activity]:[Indicators]],2,FALSE),"")</f>
        <v/>
      </c>
      <c r="V108" s="37" t="str" cm="1">
        <f t="array" ref="V108">IFERROR(INDEX(Tbl_ActDet[Units],MATCH(Table1[[#This Row],[WASH Domain
(Select in the dropdown list)]]&amp;Table1[[#This Row],[Activity
(Select in the dropdown list)]]&amp;Table1[[#This Row],[Indicators
(automatically filled)]],Tbl_ActDet[Domain]&amp;Tbl_ActDet[Activity]&amp;Tbl_ActDet[Indicators],0)),"")</f>
        <v/>
      </c>
      <c r="W108" s="37"/>
      <c r="X108" s="30"/>
      <c r="Y108" s="30"/>
      <c r="Z108" s="31"/>
      <c r="AA108" s="32"/>
      <c r="AB108" s="32"/>
      <c r="AC108" s="32"/>
      <c r="AD108" s="32"/>
      <c r="AE108" s="38">
        <f>SUM(Table1[[#This Row],['#Beneficiary
Boys]:['#Beneficiary
Women]])</f>
        <v>0</v>
      </c>
      <c r="AF108" s="44"/>
      <c r="AG108" s="44"/>
      <c r="AH108" s="45"/>
      <c r="AI108" s="43"/>
    </row>
    <row r="109" spans="1:35" x14ac:dyDescent="0.35">
      <c r="A109" s="25"/>
      <c r="B109" s="33"/>
      <c r="C109" s="26" t="s">
        <v>1749</v>
      </c>
      <c r="D109" s="54" t="str" cm="1">
        <f t="array" ref="D109">_xlfn.XLOOKUP(Table1[[#This Row],[Organisation Name
(Select in the dropdown list)]],Table18[[#All],[Organization]],Table18[[#All],[Acronym]],"",0)</f>
        <v/>
      </c>
      <c r="E109" s="26"/>
      <c r="F109" s="26"/>
      <c r="G109" s="26"/>
      <c r="H109" s="27"/>
      <c r="I109" s="27"/>
      <c r="J109" s="27"/>
      <c r="K109" s="27"/>
      <c r="L109" s="27"/>
      <c r="M109" s="27"/>
      <c r="N109" s="27"/>
      <c r="O109" s="27"/>
      <c r="P109" s="27"/>
      <c r="Q109" s="27"/>
      <c r="R109" s="28"/>
      <c r="S109" s="28"/>
      <c r="T109" s="28"/>
      <c r="U109" s="29" t="str">
        <f>IFERROR(VLOOKUP(Table1[[#This Row],[Activity
(Select in the dropdown list)]],Tbl_ActDet[[#All],[Activity]:[Indicators]],2,FALSE),"")</f>
        <v/>
      </c>
      <c r="V109" s="37" t="str" cm="1">
        <f t="array" ref="V109">IFERROR(INDEX(Tbl_ActDet[Units],MATCH(Table1[[#This Row],[WASH Domain
(Select in the dropdown list)]]&amp;Table1[[#This Row],[Activity
(Select in the dropdown list)]]&amp;Table1[[#This Row],[Indicators
(automatically filled)]],Tbl_ActDet[Domain]&amp;Tbl_ActDet[Activity]&amp;Tbl_ActDet[Indicators],0)),"")</f>
        <v/>
      </c>
      <c r="W109" s="37"/>
      <c r="X109" s="30"/>
      <c r="Y109" s="30"/>
      <c r="Z109" s="31"/>
      <c r="AA109" s="32"/>
      <c r="AB109" s="32"/>
      <c r="AC109" s="32"/>
      <c r="AD109" s="32"/>
      <c r="AE109" s="38">
        <f>SUM(Table1[[#This Row],['#Beneficiary
Boys]:['#Beneficiary
Women]])</f>
        <v>0</v>
      </c>
      <c r="AF109" s="44"/>
      <c r="AG109" s="44"/>
      <c r="AH109" s="45"/>
      <c r="AI109" s="43"/>
    </row>
    <row r="110" spans="1:35" x14ac:dyDescent="0.35">
      <c r="A110" s="25"/>
      <c r="B110" s="33"/>
      <c r="C110" s="26" t="s">
        <v>1749</v>
      </c>
      <c r="D110" s="54" t="str" cm="1">
        <f t="array" ref="D110">_xlfn.XLOOKUP(Table1[[#This Row],[Organisation Name
(Select in the dropdown list)]],Table18[[#All],[Organization]],Table18[[#All],[Acronym]],"",0)</f>
        <v/>
      </c>
      <c r="E110" s="26"/>
      <c r="F110" s="26"/>
      <c r="G110" s="26"/>
      <c r="H110" s="27"/>
      <c r="I110" s="27"/>
      <c r="J110" s="27"/>
      <c r="K110" s="27"/>
      <c r="L110" s="27"/>
      <c r="M110" s="27"/>
      <c r="N110" s="27"/>
      <c r="O110" s="27"/>
      <c r="P110" s="27"/>
      <c r="Q110" s="27"/>
      <c r="R110" s="28"/>
      <c r="S110" s="28"/>
      <c r="T110" s="28"/>
      <c r="U110" s="29" t="str">
        <f>IFERROR(VLOOKUP(Table1[[#This Row],[Activity
(Select in the dropdown list)]],Tbl_ActDet[[#All],[Activity]:[Indicators]],2,FALSE),"")</f>
        <v/>
      </c>
      <c r="V110" s="37" t="str" cm="1">
        <f t="array" ref="V110">IFERROR(INDEX(Tbl_ActDet[Units],MATCH(Table1[[#This Row],[WASH Domain
(Select in the dropdown list)]]&amp;Table1[[#This Row],[Activity
(Select in the dropdown list)]]&amp;Table1[[#This Row],[Indicators
(automatically filled)]],Tbl_ActDet[Domain]&amp;Tbl_ActDet[Activity]&amp;Tbl_ActDet[Indicators],0)),"")</f>
        <v/>
      </c>
      <c r="W110" s="37"/>
      <c r="X110" s="30"/>
      <c r="Y110" s="30"/>
      <c r="Z110" s="31"/>
      <c r="AA110" s="32"/>
      <c r="AB110" s="32"/>
      <c r="AC110" s="32"/>
      <c r="AD110" s="32"/>
      <c r="AE110" s="38">
        <f>SUM(Table1[[#This Row],['#Beneficiary
Boys]:['#Beneficiary
Women]])</f>
        <v>0</v>
      </c>
      <c r="AF110" s="44"/>
      <c r="AG110" s="44"/>
      <c r="AH110" s="45"/>
      <c r="AI110" s="43"/>
    </row>
    <row r="111" spans="1:35" x14ac:dyDescent="0.35">
      <c r="A111" s="25"/>
      <c r="B111" s="33"/>
      <c r="C111" s="26" t="s">
        <v>1749</v>
      </c>
      <c r="D111" s="54" t="str" cm="1">
        <f t="array" ref="D111">_xlfn.XLOOKUP(Table1[[#This Row],[Organisation Name
(Select in the dropdown list)]],Table18[[#All],[Organization]],Table18[[#All],[Acronym]],"",0)</f>
        <v/>
      </c>
      <c r="E111" s="26"/>
      <c r="F111" s="26"/>
      <c r="G111" s="26"/>
      <c r="H111" s="27"/>
      <c r="I111" s="27"/>
      <c r="J111" s="27"/>
      <c r="K111" s="27"/>
      <c r="L111" s="27"/>
      <c r="M111" s="27"/>
      <c r="N111" s="27"/>
      <c r="O111" s="27"/>
      <c r="P111" s="27"/>
      <c r="Q111" s="27"/>
      <c r="R111" s="28"/>
      <c r="S111" s="28"/>
      <c r="T111" s="28"/>
      <c r="U111" s="29" t="str">
        <f>IFERROR(VLOOKUP(Table1[[#This Row],[Activity
(Select in the dropdown list)]],Tbl_ActDet[[#All],[Activity]:[Indicators]],2,FALSE),"")</f>
        <v/>
      </c>
      <c r="V111" s="37" t="str" cm="1">
        <f t="array" ref="V111">IFERROR(INDEX(Tbl_ActDet[Units],MATCH(Table1[[#This Row],[WASH Domain
(Select in the dropdown list)]]&amp;Table1[[#This Row],[Activity
(Select in the dropdown list)]]&amp;Table1[[#This Row],[Indicators
(automatically filled)]],Tbl_ActDet[Domain]&amp;Tbl_ActDet[Activity]&amp;Tbl_ActDet[Indicators],0)),"")</f>
        <v/>
      </c>
      <c r="W111" s="37"/>
      <c r="X111" s="30"/>
      <c r="Y111" s="30"/>
      <c r="Z111" s="31"/>
      <c r="AA111" s="32"/>
      <c r="AB111" s="32"/>
      <c r="AC111" s="32"/>
      <c r="AD111" s="32"/>
      <c r="AE111" s="38">
        <f>SUM(Table1[[#This Row],['#Beneficiary
Boys]:['#Beneficiary
Women]])</f>
        <v>0</v>
      </c>
      <c r="AF111" s="44"/>
      <c r="AG111" s="44"/>
      <c r="AH111" s="45"/>
      <c r="AI111" s="43"/>
    </row>
    <row r="112" spans="1:35" x14ac:dyDescent="0.35">
      <c r="A112" s="25"/>
      <c r="B112" s="33"/>
      <c r="C112" s="26" t="s">
        <v>1749</v>
      </c>
      <c r="D112" s="54" t="str" cm="1">
        <f t="array" ref="D112">_xlfn.XLOOKUP(Table1[[#This Row],[Organisation Name
(Select in the dropdown list)]],Table18[[#All],[Organization]],Table18[[#All],[Acronym]],"",0)</f>
        <v/>
      </c>
      <c r="E112" s="26"/>
      <c r="F112" s="26"/>
      <c r="G112" s="26"/>
      <c r="H112" s="27"/>
      <c r="I112" s="27"/>
      <c r="J112" s="27"/>
      <c r="K112" s="27"/>
      <c r="L112" s="27"/>
      <c r="M112" s="27"/>
      <c r="N112" s="27"/>
      <c r="O112" s="27"/>
      <c r="P112" s="27"/>
      <c r="Q112" s="27"/>
      <c r="R112" s="28"/>
      <c r="S112" s="28"/>
      <c r="T112" s="28"/>
      <c r="U112" s="29" t="str">
        <f>IFERROR(VLOOKUP(Table1[[#This Row],[Activity
(Select in the dropdown list)]],Tbl_ActDet[[#All],[Activity]:[Indicators]],2,FALSE),"")</f>
        <v/>
      </c>
      <c r="V112" s="37" t="str" cm="1">
        <f t="array" ref="V112">IFERROR(INDEX(Tbl_ActDet[Units],MATCH(Table1[[#This Row],[WASH Domain
(Select in the dropdown list)]]&amp;Table1[[#This Row],[Activity
(Select in the dropdown list)]]&amp;Table1[[#This Row],[Indicators
(automatically filled)]],Tbl_ActDet[Domain]&amp;Tbl_ActDet[Activity]&amp;Tbl_ActDet[Indicators],0)),"")</f>
        <v/>
      </c>
      <c r="W112" s="37"/>
      <c r="X112" s="30"/>
      <c r="Y112" s="30"/>
      <c r="Z112" s="31"/>
      <c r="AA112" s="32"/>
      <c r="AB112" s="32"/>
      <c r="AC112" s="32"/>
      <c r="AD112" s="32"/>
      <c r="AE112" s="38">
        <f>SUM(Table1[[#This Row],['#Beneficiary
Boys]:['#Beneficiary
Women]])</f>
        <v>0</v>
      </c>
      <c r="AF112" s="44"/>
      <c r="AG112" s="44"/>
      <c r="AH112" s="45"/>
      <c r="AI112" s="43"/>
    </row>
    <row r="113" spans="1:35" x14ac:dyDescent="0.35">
      <c r="A113" s="25"/>
      <c r="B113" s="33"/>
      <c r="C113" s="26" t="s">
        <v>1749</v>
      </c>
      <c r="D113" s="54" t="str" cm="1">
        <f t="array" ref="D113">_xlfn.XLOOKUP(Table1[[#This Row],[Organisation Name
(Select in the dropdown list)]],Table18[[#All],[Organization]],Table18[[#All],[Acronym]],"",0)</f>
        <v/>
      </c>
      <c r="E113" s="26"/>
      <c r="F113" s="26"/>
      <c r="G113" s="26"/>
      <c r="H113" s="27"/>
      <c r="I113" s="27"/>
      <c r="J113" s="27"/>
      <c r="K113" s="27"/>
      <c r="L113" s="27"/>
      <c r="M113" s="27"/>
      <c r="N113" s="27"/>
      <c r="O113" s="27"/>
      <c r="P113" s="27"/>
      <c r="Q113" s="27"/>
      <c r="R113" s="28"/>
      <c r="S113" s="28"/>
      <c r="T113" s="28"/>
      <c r="U113" s="29" t="str">
        <f>IFERROR(VLOOKUP(Table1[[#This Row],[Activity
(Select in the dropdown list)]],Tbl_ActDet[[#All],[Activity]:[Indicators]],2,FALSE),"")</f>
        <v/>
      </c>
      <c r="V113" s="37" t="str" cm="1">
        <f t="array" ref="V113">IFERROR(INDEX(Tbl_ActDet[Units],MATCH(Table1[[#This Row],[WASH Domain
(Select in the dropdown list)]]&amp;Table1[[#This Row],[Activity
(Select in the dropdown list)]]&amp;Table1[[#This Row],[Indicators
(automatically filled)]],Tbl_ActDet[Domain]&amp;Tbl_ActDet[Activity]&amp;Tbl_ActDet[Indicators],0)),"")</f>
        <v/>
      </c>
      <c r="W113" s="37"/>
      <c r="X113" s="30"/>
      <c r="Y113" s="30"/>
      <c r="Z113" s="31"/>
      <c r="AA113" s="32"/>
      <c r="AB113" s="32"/>
      <c r="AC113" s="32"/>
      <c r="AD113" s="32"/>
      <c r="AE113" s="38">
        <f>SUM(Table1[[#This Row],['#Beneficiary
Boys]:['#Beneficiary
Women]])</f>
        <v>0</v>
      </c>
      <c r="AF113" s="44"/>
      <c r="AG113" s="44"/>
      <c r="AH113" s="45"/>
      <c r="AI113" s="43"/>
    </row>
    <row r="114" spans="1:35" x14ac:dyDescent="0.35">
      <c r="A114" s="25"/>
      <c r="B114" s="33"/>
      <c r="C114" s="26" t="s">
        <v>1749</v>
      </c>
      <c r="D114" s="54" t="str" cm="1">
        <f t="array" ref="D114">_xlfn.XLOOKUP(Table1[[#This Row],[Organisation Name
(Select in the dropdown list)]],Table18[[#All],[Organization]],Table18[[#All],[Acronym]],"",0)</f>
        <v/>
      </c>
      <c r="E114" s="26"/>
      <c r="F114" s="26"/>
      <c r="G114" s="26"/>
      <c r="H114" s="27"/>
      <c r="I114" s="27"/>
      <c r="J114" s="27"/>
      <c r="K114" s="27"/>
      <c r="L114" s="27"/>
      <c r="M114" s="27"/>
      <c r="N114" s="27"/>
      <c r="O114" s="27"/>
      <c r="P114" s="27"/>
      <c r="Q114" s="27"/>
      <c r="R114" s="28"/>
      <c r="S114" s="28"/>
      <c r="T114" s="28"/>
      <c r="U114" s="29" t="str">
        <f>IFERROR(VLOOKUP(Table1[[#This Row],[Activity
(Select in the dropdown list)]],Tbl_ActDet[[#All],[Activity]:[Indicators]],2,FALSE),"")</f>
        <v/>
      </c>
      <c r="V114" s="37" t="str" cm="1">
        <f t="array" ref="V114">IFERROR(INDEX(Tbl_ActDet[Units],MATCH(Table1[[#This Row],[WASH Domain
(Select in the dropdown list)]]&amp;Table1[[#This Row],[Activity
(Select in the dropdown list)]]&amp;Table1[[#This Row],[Indicators
(automatically filled)]],Tbl_ActDet[Domain]&amp;Tbl_ActDet[Activity]&amp;Tbl_ActDet[Indicators],0)),"")</f>
        <v/>
      </c>
      <c r="W114" s="37"/>
      <c r="X114" s="30"/>
      <c r="Y114" s="30"/>
      <c r="Z114" s="31"/>
      <c r="AA114" s="32"/>
      <c r="AB114" s="32"/>
      <c r="AC114" s="32"/>
      <c r="AD114" s="32"/>
      <c r="AE114" s="38">
        <f>SUM(Table1[[#This Row],['#Beneficiary
Boys]:['#Beneficiary
Women]])</f>
        <v>0</v>
      </c>
      <c r="AF114" s="44"/>
      <c r="AG114" s="44"/>
      <c r="AH114" s="45"/>
      <c r="AI114" s="43"/>
    </row>
    <row r="115" spans="1:35" x14ac:dyDescent="0.35">
      <c r="A115" s="25"/>
      <c r="B115" s="33"/>
      <c r="C115" s="26" t="s">
        <v>1749</v>
      </c>
      <c r="D115" s="54" t="str" cm="1">
        <f t="array" ref="D115">_xlfn.XLOOKUP(Table1[[#This Row],[Organisation Name
(Select in the dropdown list)]],Table18[[#All],[Organization]],Table18[[#All],[Acronym]],"",0)</f>
        <v/>
      </c>
      <c r="E115" s="26"/>
      <c r="F115" s="26"/>
      <c r="G115" s="26"/>
      <c r="H115" s="27"/>
      <c r="I115" s="27"/>
      <c r="J115" s="27"/>
      <c r="K115" s="27"/>
      <c r="L115" s="27"/>
      <c r="M115" s="27"/>
      <c r="N115" s="27"/>
      <c r="O115" s="27"/>
      <c r="P115" s="27"/>
      <c r="Q115" s="27"/>
      <c r="R115" s="28"/>
      <c r="S115" s="28"/>
      <c r="T115" s="28"/>
      <c r="U115" s="29" t="str">
        <f>IFERROR(VLOOKUP(Table1[[#This Row],[Activity
(Select in the dropdown list)]],Tbl_ActDet[[#All],[Activity]:[Indicators]],2,FALSE),"")</f>
        <v/>
      </c>
      <c r="V115" s="37" t="str" cm="1">
        <f t="array" ref="V115">IFERROR(INDEX(Tbl_ActDet[Units],MATCH(Table1[[#This Row],[WASH Domain
(Select in the dropdown list)]]&amp;Table1[[#This Row],[Activity
(Select in the dropdown list)]]&amp;Table1[[#This Row],[Indicators
(automatically filled)]],Tbl_ActDet[Domain]&amp;Tbl_ActDet[Activity]&amp;Tbl_ActDet[Indicators],0)),"")</f>
        <v/>
      </c>
      <c r="W115" s="37"/>
      <c r="X115" s="30"/>
      <c r="Y115" s="30"/>
      <c r="Z115" s="31"/>
      <c r="AA115" s="32"/>
      <c r="AB115" s="32"/>
      <c r="AC115" s="32"/>
      <c r="AD115" s="32"/>
      <c r="AE115" s="38">
        <f>SUM(Table1[[#This Row],['#Beneficiary
Boys]:['#Beneficiary
Women]])</f>
        <v>0</v>
      </c>
      <c r="AF115" s="44"/>
      <c r="AG115" s="44"/>
      <c r="AH115" s="45"/>
      <c r="AI115" s="43"/>
    </row>
    <row r="116" spans="1:35" x14ac:dyDescent="0.35">
      <c r="A116" s="25"/>
      <c r="B116" s="33"/>
      <c r="C116" s="26" t="s">
        <v>1749</v>
      </c>
      <c r="D116" s="54" t="str" cm="1">
        <f t="array" ref="D116">_xlfn.XLOOKUP(Table1[[#This Row],[Organisation Name
(Select in the dropdown list)]],Table18[[#All],[Organization]],Table18[[#All],[Acronym]],"",0)</f>
        <v/>
      </c>
      <c r="E116" s="26"/>
      <c r="F116" s="26"/>
      <c r="G116" s="26"/>
      <c r="H116" s="27"/>
      <c r="I116" s="27"/>
      <c r="J116" s="27"/>
      <c r="K116" s="27"/>
      <c r="L116" s="27"/>
      <c r="M116" s="27"/>
      <c r="N116" s="27"/>
      <c r="O116" s="27"/>
      <c r="P116" s="27"/>
      <c r="Q116" s="27"/>
      <c r="R116" s="28"/>
      <c r="S116" s="28"/>
      <c r="T116" s="28"/>
      <c r="U116" s="29" t="str">
        <f>IFERROR(VLOOKUP(Table1[[#This Row],[Activity
(Select in the dropdown list)]],Tbl_ActDet[[#All],[Activity]:[Indicators]],2,FALSE),"")</f>
        <v/>
      </c>
      <c r="V116" s="37" t="str" cm="1">
        <f t="array" ref="V116">IFERROR(INDEX(Tbl_ActDet[Units],MATCH(Table1[[#This Row],[WASH Domain
(Select in the dropdown list)]]&amp;Table1[[#This Row],[Activity
(Select in the dropdown list)]]&amp;Table1[[#This Row],[Indicators
(automatically filled)]],Tbl_ActDet[Domain]&amp;Tbl_ActDet[Activity]&amp;Tbl_ActDet[Indicators],0)),"")</f>
        <v/>
      </c>
      <c r="W116" s="37"/>
      <c r="X116" s="30"/>
      <c r="Y116" s="30"/>
      <c r="Z116" s="31"/>
      <c r="AA116" s="32"/>
      <c r="AB116" s="32"/>
      <c r="AC116" s="32"/>
      <c r="AD116" s="32"/>
      <c r="AE116" s="38">
        <f>SUM(Table1[[#This Row],['#Beneficiary
Boys]:['#Beneficiary
Women]])</f>
        <v>0</v>
      </c>
      <c r="AF116" s="44"/>
      <c r="AG116" s="44"/>
      <c r="AH116" s="45"/>
      <c r="AI116" s="43"/>
    </row>
  </sheetData>
  <sheetProtection autoFilter="0"/>
  <protectedRanges>
    <protectedRange sqref="W4:AD116 N4:T116 AF4:AH116 J4:J116 L4:L116 A4:H116" name="Range1"/>
    <protectedRange sqref="AI4:AI116" name="Range2"/>
  </protectedRanges>
  <mergeCells count="5">
    <mergeCell ref="C1:G1"/>
    <mergeCell ref="H1:O1"/>
    <mergeCell ref="AF1:AH1"/>
    <mergeCell ref="R1:Y1"/>
    <mergeCell ref="Z1:AE1"/>
  </mergeCells>
  <phoneticPr fontId="7" type="noConversion"/>
  <dataValidations xWindow="1279" yWindow="390" count="15">
    <dataValidation type="list" allowBlank="1" showInputMessage="1" showErrorMessage="1" promptTitle="States" prompt="Select from the dropdown list_x000a_" sqref="H4:H116" xr:uid="{718457CB-1B59-4147-B94E-6818338591D7}">
      <formula1>ADM1_</formula1>
    </dataValidation>
    <dataValidation type="list" allowBlank="1" showInputMessage="1" showErrorMessage="1" promptTitle="Select one" prompt="Select from the dropdown list" sqref="R4:R116" xr:uid="{AEE69C6A-09A0-4999-8B3F-3BD60E3FBA74}">
      <formula1>EmergList</formula1>
    </dataValidation>
    <dataValidation type="list" allowBlank="1" showInputMessage="1" showErrorMessage="1" promptTitle="Select one" prompt="Select from the dropdown list " sqref="Z4:Z116" xr:uid="{1B2035C9-A4D5-4F0E-93E6-C2C6A3CEF0A8}">
      <formula1>BenefType</formula1>
    </dataValidation>
    <dataValidation type="list" allowBlank="1" showInputMessage="1" showErrorMessage="1" promptTitle="Project Status" prompt="Select from the dropdown list" sqref="AH4:AH116" xr:uid="{D83BD39F-1BEB-45D8-BA6A-CEAC52D4E7CD}">
      <formula1>Status</formula1>
    </dataValidation>
    <dataValidation allowBlank="1" showInputMessage="1" showErrorMessage="1" prompt="Please add a CUMULATIVE number of beneficiaries in response so far" sqref="AA4:AE116" xr:uid="{C567AF24-9729-4174-A41E-7FEE3D204A5B}"/>
    <dataValidation type="list" allowBlank="1" showInputMessage="1" showErrorMessage="1" promptTitle="select one" prompt="Select from the dropdown list" sqref="T4:T116" xr:uid="{CD92204F-518F-44A0-8380-6F91B7A76F14}">
      <formula1>OFFSET(Domain_title,MATCH(S4,Domain_tbl,0)+0,1,COUNTIF(Domain_tbl,S4),1)</formula1>
    </dataValidation>
    <dataValidation type="list" allowBlank="1" showInputMessage="1" showErrorMessage="1" sqref="U4:U116" xr:uid="{4361CA9F-C0AB-4DCC-9A3D-128404B420F5}">
      <formula1>OFFSET(Activity_title,MATCH(T4,Activity_tbl,0)+0,1,COUNTIF(Activity_tbl,T4),1)</formula1>
    </dataValidation>
    <dataValidation allowBlank="1" showInputMessage="1" showErrorMessage="1" promptTitle="Acronym" prompt="Input the acronym of your organization" sqref="D4:D116" xr:uid="{D521DA7F-C1A8-4795-B152-15F4BA6F172C}"/>
    <dataValidation allowBlank="1" showInputMessage="1" showErrorMessage="1" promptTitle="Location Name" prompt="Write name of village/community, schools, IDP/Refugee site etc. where the project implemented" sqref="O4:O116" xr:uid="{AAD9EBCD-043F-4E96-8281-C898CB69C8C6}"/>
    <dataValidation allowBlank="1" showInputMessage="1" showErrorMessage="1" promptTitle="Geo-location" prompt="Provide the Latitude and Longitude of the Boreholes or sanitation facilities provided seperated with comma e.g 11.223344, 13.445566" sqref="Q4:Q116" xr:uid="{22D0D85E-73A9-4CDE-AB2C-C8C8A99AF82E}"/>
    <dataValidation allowBlank="1" showInputMessage="1" showErrorMessage="1" promptTitle="Autofill" prompt="this is an autofill, don't alter" sqref="V4:V116" xr:uid="{2EF0BC6A-4770-4486-A4A7-41FA6427822F}"/>
    <dataValidation allowBlank="1" showInputMessage="1" showErrorMessage="1" promptTitle="Number" prompt="Input Numbers only" sqref="X4:Y116" xr:uid="{91AEB6D9-6169-4BB4-A623-5F88BDF435AD}"/>
    <dataValidation allowBlank="1" showInputMessage="1" showErrorMessage="1" promptTitle="Date" prompt="Input the project start date in DD/MM/YYYY format" sqref="AF4:AG116" xr:uid="{A62E3B20-E084-46D0-BF36-FA9E62087878}"/>
    <dataValidation allowBlank="1" showInputMessage="1" showErrorMessage="1" promptTitle="Imp Partner" prompt="Clearly write the implementing partner of this activity" sqref="G4:G116" xr:uid="{C98AE44D-B32B-424F-BDE8-467360E8EEA3}"/>
    <dataValidation allowBlank="1" showInputMessage="1" showErrorMessage="1" prompt="Please input the estimated total population of the activity location:" sqref="P4:P116" xr:uid="{EC254544-59CA-4C51-B1C9-68E7B27B1108}"/>
  </dataValidations>
  <pageMargins left="0.7" right="0.7" top="0.75" bottom="0.75" header="0.3" footer="0.3"/>
  <pageSetup orientation="portrait" r:id="rId1"/>
  <ignoredErrors>
    <ignoredError sqref="C6:C59 C61:C116" listDataValidation="1"/>
    <ignoredError sqref="D4 D6:D116" unlockedFormula="1"/>
  </ignoredErrors>
  <legacyDrawing r:id="rId2"/>
  <tableParts count="1">
    <tablePart r:id="rId3"/>
  </tableParts>
  <extLst>
    <ext xmlns:x14="http://schemas.microsoft.com/office/spreadsheetml/2009/9/main" uri="{CCE6A557-97BC-4b89-ADB6-D9C93CAAB3DF}">
      <x14:dataValidations xmlns:xm="http://schemas.microsoft.com/office/excel/2006/main" xWindow="1279" yWindow="390" count="10">
        <x14:dataValidation type="list" allowBlank="1" showInputMessage="1" showErrorMessage="1" xr:uid="{E9555125-DFE3-4765-8320-75537001232D}">
          <x14:formula1>
            <xm:f>Vocabulary!$AY$2:$AY$13</xm:f>
          </x14:formula1>
          <xm:sqref>A4:A116</xm:sqref>
        </x14:dataValidation>
        <x14:dataValidation type="list" allowBlank="1" showInputMessage="1" showErrorMessage="1" promptTitle="Select one" prompt="Select from the dropdown list" xr:uid="{C3B4C540-C0AC-4B99-8C9A-64A4F1641CBE}">
          <x14:formula1>
            <xm:f>Vocabulary!$AC$2:$AC$41</xm:f>
          </x14:formula1>
          <xm:sqref>S4:S116</xm:sqref>
        </x14:dataValidation>
        <x14:dataValidation type="list" allowBlank="1" showInputMessage="1" showErrorMessage="1" promptTitle="select one" prompt="Select from the dropdown list" xr:uid="{55B3F266-115D-43BC-9F89-E027F5D87656}">
          <x14:formula1>
            <xm:f>Vocabulary!$BC$2:$BC$4</xm:f>
          </x14:formula1>
          <xm:sqref>W4:W116</xm:sqref>
        </x14:dataValidation>
        <x14:dataValidation type="list" allowBlank="1" showInputMessage="1" showErrorMessage="1" xr:uid="{2EFA7303-27BF-47F5-8235-9F284F36357E}">
          <x14:formula1>
            <xm:f>Vocabulary!$AW$2:$AW$7</xm:f>
          </x14:formula1>
          <xm:sqref>N4:N116</xm:sqref>
        </x14:dataValidation>
        <x14:dataValidation type="list" allowBlank="1" showInputMessage="1" showErrorMessage="1" promptTitle="Type of Organization" prompt="Select from the dropdown list" xr:uid="{B721AF00-89B4-4E10-A742-B3CE3C133310}">
          <x14:formula1>
            <xm:f>Vocabulary!$BE$2:$BE$4</xm:f>
          </x14:formula1>
          <xm:sqref>E4:E116</xm:sqref>
        </x14:dataValidation>
        <x14:dataValidation type="list" allowBlank="1" showInputMessage="1" showErrorMessage="1" promptTitle="LGA" prompt="Select from the dropdown list" xr:uid="{AF691C33-4DFF-4B2C-83DA-91DF320CC013}">
          <x14:formula1>
            <xm:f>_xlfn.DROP(_xlfn.TAKE(Vocabulary!$C$2:$C$715,_xlfn.XMATCH(H4,Vocabulary!$A$2:$A$715,0,-1)),_xlfn.XMATCH(H4,Vocabulary!$A$2:$A$715,0)-1)</xm:f>
          </x14:formula1>
          <xm:sqref>J4:J116</xm:sqref>
        </x14:dataValidation>
        <x14:dataValidation type="list" allowBlank="1" showInputMessage="1" showErrorMessage="1" promptTitle="Wards" prompt="Select from the dropdown list" xr:uid="{ADD57C86-A44E-432B-B3B2-50E203494893}">
          <x14:formula1>
            <xm:f>_xlfn.DROP(_xlfn.TAKE(Vocabulary!$E$2:$E$715,_xlfn.XMATCH(J4,Vocabulary!$C$2:$C$715,0,-1)),_xlfn.XMATCH(J4,Vocabulary!$C$2:$C$715,0)-1)</xm:f>
          </x14:formula1>
          <xm:sqref>L4:L116</xm:sqref>
        </x14:dataValidation>
        <x14:dataValidation type="list" allowBlank="1" showInputMessage="1" showErrorMessage="1" promptTitle="Select one" prompt="Select from the dropdown list:  If  the name of your donor not reflected in the list, please select &quot;other&quot; then specify the name of the donor comments column of this template" xr:uid="{CA1A9AEC-80D5-4EB8-B5E0-5E12C9E6BB0B}">
          <x14:formula1>
            <xm:f>Vocabulary!$BA$2:$BA$17</xm:f>
          </x14:formula1>
          <xm:sqref>F4:F116</xm:sqref>
        </x14:dataValidation>
        <x14:dataValidation type="date" allowBlank="1" showInputMessage="1" showErrorMessage="1" xr:uid="{1B93A703-A9F9-41FD-BD18-47F20938D35A}">
          <x14:formula1>
            <xm:f>Vocabulary!AY2</xm:f>
          </x14:formula1>
          <x14:formula2>
            <xm:f>Vocabulary!AY13</xm:f>
          </x14:formula2>
          <xm:sqref>B4:B116</xm:sqref>
        </x14:dataValidation>
        <x14:dataValidation type="list" allowBlank="1" showInputMessage="1" showErrorMessage="1" promptTitle="Org_Name" prompt="Select from the dropdown list" xr:uid="{F58C1E0D-9161-45B4-9B9B-3A81C9533B08}">
          <x14:formula1>
            <xm:f>Vocabulary!$BG$2:$BG$141</xm:f>
          </x14:formula1>
          <xm:sqref>C4:C116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CECA8-41C7-4814-84D0-738557F06F9D}">
  <sheetPr codeName="Sheet4"/>
  <dimension ref="A1:BL720"/>
  <sheetViews>
    <sheetView zoomScale="87" zoomScaleNormal="87" workbookViewId="0">
      <pane ySplit="1" topLeftCell="A35" activePane="bottomLeft" state="frozen"/>
      <selection activeCell="AC1" sqref="AC1"/>
      <selection pane="bottomLeft" activeCell="BJ50" sqref="BJ50"/>
    </sheetView>
  </sheetViews>
  <sheetFormatPr defaultRowHeight="14.5" x14ac:dyDescent="0.35"/>
  <cols>
    <col min="1" max="1" width="10.81640625" bestFit="1" customWidth="1"/>
    <col min="2" max="2" width="14.1796875" bestFit="1" customWidth="1"/>
    <col min="3" max="3" width="15" bestFit="1" customWidth="1"/>
    <col min="4" max="4" width="14.1796875" bestFit="1" customWidth="1"/>
    <col min="5" max="5" width="15.54296875" customWidth="1"/>
    <col min="6" max="6" width="14.1796875" bestFit="1" customWidth="1"/>
    <col min="7" max="8" width="1.453125" customWidth="1"/>
    <col min="9" max="9" width="11.54296875" bestFit="1" customWidth="1"/>
    <col min="10" max="10" width="14.81640625" customWidth="1"/>
    <col min="11" max="11" width="11.54296875" bestFit="1" customWidth="1"/>
    <col min="12" max="12" width="14.81640625" customWidth="1"/>
    <col min="13" max="14" width="1.453125" customWidth="1"/>
    <col min="15" max="15" width="11.54296875" bestFit="1" customWidth="1"/>
    <col min="16" max="16" width="14.81640625" customWidth="1"/>
    <col min="17" max="18" width="1.453125" customWidth="1"/>
    <col min="19" max="19" width="30.81640625" bestFit="1" customWidth="1"/>
    <col min="20" max="21" width="1.453125" customWidth="1"/>
    <col min="22" max="22" width="15.54296875" bestFit="1" customWidth="1"/>
    <col min="23" max="24" width="1.453125" customWidth="1"/>
    <col min="25" max="25" width="20.453125" customWidth="1"/>
    <col min="26" max="26" width="41.1796875" bestFit="1" customWidth="1"/>
    <col min="27" max="28" width="1.453125" customWidth="1"/>
    <col min="29" max="29" width="15.54296875" bestFit="1" customWidth="1"/>
    <col min="30" max="30" width="64.1796875" bestFit="1" customWidth="1"/>
    <col min="31" max="31" width="224.81640625" bestFit="1" customWidth="1"/>
    <col min="32" max="32" width="33.54296875" customWidth="1"/>
    <col min="33" max="33" width="8.81640625" bestFit="1" customWidth="1"/>
    <col min="34" max="34" width="13.453125" bestFit="1" customWidth="1"/>
    <col min="35" max="35" width="5.453125" customWidth="1"/>
    <col min="36" max="36" width="1.453125" customWidth="1"/>
    <col min="37" max="37" width="10.453125" bestFit="1" customWidth="1"/>
    <col min="38" max="39" width="1.453125" customWidth="1"/>
    <col min="40" max="40" width="16.81640625" customWidth="1"/>
    <col min="41" max="42" width="1.453125" customWidth="1"/>
    <col min="43" max="43" width="11" customWidth="1"/>
    <col min="44" max="45" width="1.453125" customWidth="1"/>
    <col min="46" max="46" width="20.1796875" bestFit="1" customWidth="1"/>
    <col min="47" max="48" width="1.453125" customWidth="1"/>
    <col min="49" max="49" width="30.1796875" bestFit="1" customWidth="1"/>
    <col min="50" max="50" width="1.90625" customWidth="1"/>
    <col min="51" max="51" width="13.1796875" bestFit="1" customWidth="1"/>
    <col min="52" max="52" width="2.453125" customWidth="1"/>
    <col min="53" max="53" width="15.6328125" bestFit="1" customWidth="1"/>
    <col min="54" max="54" width="3" customWidth="1"/>
    <col min="55" max="55" width="21.81640625" bestFit="1" customWidth="1"/>
    <col min="57" max="57" width="17.6328125" customWidth="1"/>
    <col min="59" max="59" width="93.90625" bestFit="1" customWidth="1"/>
    <col min="60" max="60" width="15.08984375" bestFit="1" customWidth="1"/>
    <col min="62" max="62" width="11.1796875" bestFit="1" customWidth="1"/>
  </cols>
  <sheetData>
    <row r="1" spans="1:64" x14ac:dyDescent="0.35">
      <c r="A1" s="1" t="s">
        <v>37</v>
      </c>
      <c r="B1" s="1" t="s">
        <v>38</v>
      </c>
      <c r="C1" s="1" t="s">
        <v>39</v>
      </c>
      <c r="D1" s="1" t="s">
        <v>40</v>
      </c>
      <c r="E1" s="1" t="s">
        <v>41</v>
      </c>
      <c r="F1" s="1" t="s">
        <v>42</v>
      </c>
      <c r="I1" s="2" t="s">
        <v>37</v>
      </c>
      <c r="J1" s="2" t="s">
        <v>38</v>
      </c>
      <c r="K1" s="2" t="s">
        <v>39</v>
      </c>
      <c r="L1" s="2" t="s">
        <v>40</v>
      </c>
      <c r="O1" s="2" t="s">
        <v>37</v>
      </c>
      <c r="P1" s="2" t="s">
        <v>38</v>
      </c>
      <c r="S1" t="s">
        <v>43</v>
      </c>
      <c r="V1" t="s">
        <v>44</v>
      </c>
      <c r="Y1" t="s">
        <v>44</v>
      </c>
      <c r="Z1" t="s">
        <v>45</v>
      </c>
      <c r="AC1" t="s">
        <v>44</v>
      </c>
      <c r="AD1" t="s">
        <v>45</v>
      </c>
      <c r="AE1" t="s">
        <v>46</v>
      </c>
      <c r="AF1" t="s">
        <v>47</v>
      </c>
      <c r="AG1" t="s">
        <v>1712</v>
      </c>
      <c r="AH1" t="s">
        <v>1714</v>
      </c>
      <c r="AK1" t="s">
        <v>48</v>
      </c>
      <c r="AN1" t="s">
        <v>49</v>
      </c>
      <c r="AQ1" t="s">
        <v>50</v>
      </c>
      <c r="AT1" t="s">
        <v>51</v>
      </c>
      <c r="AW1" t="s">
        <v>52</v>
      </c>
      <c r="AY1" t="s">
        <v>1613</v>
      </c>
      <c r="BA1" t="s">
        <v>1611</v>
      </c>
      <c r="BC1" s="13" t="s">
        <v>1675</v>
      </c>
      <c r="BE1" t="s">
        <v>1693</v>
      </c>
      <c r="BG1" t="s">
        <v>1701</v>
      </c>
      <c r="BH1" t="s">
        <v>1992</v>
      </c>
      <c r="BJ1" t="s">
        <v>77</v>
      </c>
      <c r="BK1" t="s">
        <v>76</v>
      </c>
      <c r="BL1" t="s">
        <v>78</v>
      </c>
    </row>
    <row r="2" spans="1:64" x14ac:dyDescent="0.35">
      <c r="A2" s="1" t="s">
        <v>77</v>
      </c>
      <c r="B2" s="1" t="s">
        <v>79</v>
      </c>
      <c r="C2" s="1" t="s">
        <v>82</v>
      </c>
      <c r="D2" s="1" t="s">
        <v>83</v>
      </c>
      <c r="E2" s="1" t="s">
        <v>329</v>
      </c>
      <c r="F2" s="1" t="s">
        <v>330</v>
      </c>
      <c r="I2" s="1" t="s">
        <v>77</v>
      </c>
      <c r="J2" s="1" t="s">
        <v>79</v>
      </c>
      <c r="K2" s="1" t="s">
        <v>82</v>
      </c>
      <c r="L2" s="1" t="s">
        <v>83</v>
      </c>
      <c r="O2" s="1" t="s">
        <v>77</v>
      </c>
      <c r="P2" s="1" t="s">
        <v>79</v>
      </c>
      <c r="S2" t="s">
        <v>53</v>
      </c>
      <c r="V2" t="s">
        <v>36</v>
      </c>
      <c r="Y2" s="7" t="s">
        <v>36</v>
      </c>
      <c r="Z2" s="7" t="s">
        <v>1596</v>
      </c>
      <c r="AC2" t="s">
        <v>36</v>
      </c>
      <c r="AD2" t="s">
        <v>1596</v>
      </c>
      <c r="AE2" t="s">
        <v>1603</v>
      </c>
      <c r="AF2" t="s">
        <v>1669</v>
      </c>
      <c r="AG2" t="s">
        <v>1713</v>
      </c>
      <c r="AH2" t="s">
        <v>1715</v>
      </c>
      <c r="AK2" t="s">
        <v>54</v>
      </c>
      <c r="AN2" t="s">
        <v>55</v>
      </c>
      <c r="AQ2" t="s">
        <v>56</v>
      </c>
      <c r="AT2" t="s">
        <v>35</v>
      </c>
      <c r="AW2" t="s">
        <v>57</v>
      </c>
      <c r="AY2" s="11">
        <v>46023</v>
      </c>
      <c r="BA2" t="s">
        <v>1723</v>
      </c>
      <c r="BC2" t="s">
        <v>1678</v>
      </c>
      <c r="BE2" t="s">
        <v>1691</v>
      </c>
      <c r="BG2" t="s">
        <v>1759</v>
      </c>
      <c r="BH2" t="s">
        <v>1760</v>
      </c>
      <c r="BJ2" t="s">
        <v>82</v>
      </c>
      <c r="BK2" t="s">
        <v>124</v>
      </c>
      <c r="BL2" t="s">
        <v>178</v>
      </c>
    </row>
    <row r="3" spans="1:64" x14ac:dyDescent="0.35">
      <c r="A3" s="1" t="s">
        <v>77</v>
      </c>
      <c r="B3" s="1" t="s">
        <v>79</v>
      </c>
      <c r="C3" s="1" t="s">
        <v>82</v>
      </c>
      <c r="D3" s="1" t="s">
        <v>83</v>
      </c>
      <c r="E3" s="1" t="s">
        <v>373</v>
      </c>
      <c r="F3" s="1" t="s">
        <v>374</v>
      </c>
      <c r="I3" s="1" t="s">
        <v>77</v>
      </c>
      <c r="J3" s="1" t="s">
        <v>79</v>
      </c>
      <c r="K3" s="1" t="s">
        <v>84</v>
      </c>
      <c r="L3" s="1" t="s">
        <v>85</v>
      </c>
      <c r="O3" s="1" t="s">
        <v>76</v>
      </c>
      <c r="P3" s="1" t="s">
        <v>80</v>
      </c>
      <c r="S3" t="s">
        <v>5</v>
      </c>
      <c r="V3" t="s">
        <v>58</v>
      </c>
      <c r="Y3" s="7" t="s">
        <v>36</v>
      </c>
      <c r="Z3" s="7" t="s">
        <v>1597</v>
      </c>
      <c r="AC3" t="s">
        <v>36</v>
      </c>
      <c r="AD3" t="s">
        <v>1597</v>
      </c>
      <c r="AE3" t="s">
        <v>1603</v>
      </c>
      <c r="AF3" t="s">
        <v>1669</v>
      </c>
      <c r="AG3" t="s">
        <v>1713</v>
      </c>
      <c r="AH3" t="s">
        <v>1715</v>
      </c>
      <c r="AK3" t="s">
        <v>59</v>
      </c>
      <c r="AN3" t="s">
        <v>60</v>
      </c>
      <c r="AQ3" t="s">
        <v>61</v>
      </c>
      <c r="AT3" t="s">
        <v>62</v>
      </c>
      <c r="AW3" t="s">
        <v>68</v>
      </c>
      <c r="AY3" s="11">
        <v>46054</v>
      </c>
      <c r="BA3" t="s">
        <v>1650</v>
      </c>
      <c r="BC3" t="s">
        <v>1676</v>
      </c>
      <c r="BE3" t="s">
        <v>63</v>
      </c>
      <c r="BG3" t="s">
        <v>1761</v>
      </c>
      <c r="BH3" t="s">
        <v>1762</v>
      </c>
      <c r="BJ3" t="s">
        <v>84</v>
      </c>
      <c r="BK3" t="s">
        <v>126</v>
      </c>
      <c r="BL3" t="s">
        <v>180</v>
      </c>
    </row>
    <row r="4" spans="1:64" x14ac:dyDescent="0.35">
      <c r="A4" s="1" t="s">
        <v>77</v>
      </c>
      <c r="B4" s="1" t="s">
        <v>79</v>
      </c>
      <c r="C4" s="1" t="s">
        <v>82</v>
      </c>
      <c r="D4" s="1" t="s">
        <v>83</v>
      </c>
      <c r="E4" s="1" t="s">
        <v>82</v>
      </c>
      <c r="F4" s="1" t="s">
        <v>491</v>
      </c>
      <c r="I4" s="1" t="s">
        <v>77</v>
      </c>
      <c r="J4" s="1" t="s">
        <v>79</v>
      </c>
      <c r="K4" s="1" t="s">
        <v>86</v>
      </c>
      <c r="L4" s="1" t="s">
        <v>87</v>
      </c>
      <c r="O4" s="1" t="s">
        <v>78</v>
      </c>
      <c r="P4" s="1" t="s">
        <v>81</v>
      </c>
      <c r="S4" t="s">
        <v>63</v>
      </c>
      <c r="V4" t="s">
        <v>64</v>
      </c>
      <c r="Y4" s="7" t="s">
        <v>36</v>
      </c>
      <c r="Z4" s="7" t="s">
        <v>1599</v>
      </c>
      <c r="AC4" t="s">
        <v>36</v>
      </c>
      <c r="AD4" t="s">
        <v>1599</v>
      </c>
      <c r="AE4" t="s">
        <v>1603</v>
      </c>
      <c r="AF4" t="s">
        <v>1669</v>
      </c>
      <c r="AG4" t="s">
        <v>1713</v>
      </c>
      <c r="AH4" t="s">
        <v>1715</v>
      </c>
      <c r="AK4" t="s">
        <v>65</v>
      </c>
      <c r="AN4" t="s">
        <v>66</v>
      </c>
      <c r="AQ4" t="s">
        <v>1593</v>
      </c>
      <c r="AT4" t="s">
        <v>67</v>
      </c>
      <c r="AW4" t="s">
        <v>1679</v>
      </c>
      <c r="AY4" s="11">
        <v>46082</v>
      </c>
      <c r="BA4" t="s">
        <v>1658</v>
      </c>
      <c r="BC4" t="s">
        <v>1677</v>
      </c>
      <c r="BE4" t="s">
        <v>1692</v>
      </c>
      <c r="BG4" t="s">
        <v>1763</v>
      </c>
      <c r="BH4" t="s">
        <v>1764</v>
      </c>
      <c r="BJ4" t="s">
        <v>86</v>
      </c>
      <c r="BK4" t="s">
        <v>128</v>
      </c>
      <c r="BL4" t="s">
        <v>182</v>
      </c>
    </row>
    <row r="5" spans="1:64" x14ac:dyDescent="0.35">
      <c r="A5" s="1" t="s">
        <v>77</v>
      </c>
      <c r="B5" s="1" t="s">
        <v>79</v>
      </c>
      <c r="C5" s="1" t="s">
        <v>82</v>
      </c>
      <c r="D5" s="1" t="s">
        <v>83</v>
      </c>
      <c r="E5" s="1" t="s">
        <v>499</v>
      </c>
      <c r="F5" s="1" t="s">
        <v>500</v>
      </c>
      <c r="I5" s="1" t="s">
        <v>77</v>
      </c>
      <c r="J5" s="1" t="s">
        <v>79</v>
      </c>
      <c r="K5" s="1" t="s">
        <v>88</v>
      </c>
      <c r="L5" s="1" t="s">
        <v>89</v>
      </c>
      <c r="O5" s="1"/>
      <c r="P5" s="1"/>
      <c r="S5" t="s">
        <v>69</v>
      </c>
      <c r="Y5" s="7" t="s">
        <v>36</v>
      </c>
      <c r="Z5" s="7" t="s">
        <v>1598</v>
      </c>
      <c r="AC5" t="s">
        <v>36</v>
      </c>
      <c r="AD5" t="s">
        <v>1598</v>
      </c>
      <c r="AE5" t="s">
        <v>1603</v>
      </c>
      <c r="AF5" t="s">
        <v>1669</v>
      </c>
      <c r="AG5" t="s">
        <v>1713</v>
      </c>
      <c r="AH5" t="s">
        <v>1715</v>
      </c>
      <c r="AK5" t="s">
        <v>70</v>
      </c>
      <c r="AN5" t="s">
        <v>71</v>
      </c>
      <c r="AT5" t="s">
        <v>1674</v>
      </c>
      <c r="AW5" t="s">
        <v>1680</v>
      </c>
      <c r="AY5" s="11">
        <v>46113</v>
      </c>
      <c r="BA5" t="s">
        <v>1648</v>
      </c>
      <c r="BG5" t="s">
        <v>1765</v>
      </c>
      <c r="BH5" t="s">
        <v>1766</v>
      </c>
      <c r="BJ5" t="s">
        <v>88</v>
      </c>
      <c r="BK5" t="s">
        <v>130</v>
      </c>
      <c r="BL5" t="s">
        <v>184</v>
      </c>
    </row>
    <row r="6" spans="1:64" x14ac:dyDescent="0.35">
      <c r="A6" s="1" t="s">
        <v>77</v>
      </c>
      <c r="B6" s="1" t="s">
        <v>79</v>
      </c>
      <c r="C6" s="1" t="s">
        <v>82</v>
      </c>
      <c r="D6" s="1" t="s">
        <v>83</v>
      </c>
      <c r="E6" s="1" t="s">
        <v>517</v>
      </c>
      <c r="F6" s="1" t="s">
        <v>518</v>
      </c>
      <c r="I6" s="1" t="s">
        <v>77</v>
      </c>
      <c r="J6" s="1" t="s">
        <v>79</v>
      </c>
      <c r="K6" s="1" t="s">
        <v>90</v>
      </c>
      <c r="L6" s="1" t="s">
        <v>91</v>
      </c>
      <c r="O6" s="1"/>
      <c r="P6" s="1"/>
      <c r="S6" t="s">
        <v>72</v>
      </c>
      <c r="Y6" s="7" t="s">
        <v>36</v>
      </c>
      <c r="Z6" s="7" t="s">
        <v>1600</v>
      </c>
      <c r="AC6" t="s">
        <v>36</v>
      </c>
      <c r="AD6" t="s">
        <v>1600</v>
      </c>
      <c r="AE6" t="s">
        <v>1603</v>
      </c>
      <c r="AF6" t="s">
        <v>1669</v>
      </c>
      <c r="AG6" t="s">
        <v>1713</v>
      </c>
      <c r="AH6" t="s">
        <v>1715</v>
      </c>
      <c r="AK6" t="s">
        <v>73</v>
      </c>
      <c r="AT6" t="s">
        <v>1660</v>
      </c>
      <c r="AW6" t="s">
        <v>74</v>
      </c>
      <c r="AY6" s="11">
        <v>46143</v>
      </c>
      <c r="BA6" t="s">
        <v>1652</v>
      </c>
      <c r="BG6" t="s">
        <v>1934</v>
      </c>
      <c r="BH6" t="s">
        <v>1935</v>
      </c>
      <c r="BJ6" t="s">
        <v>90</v>
      </c>
      <c r="BK6" t="s">
        <v>132</v>
      </c>
      <c r="BL6" t="s">
        <v>186</v>
      </c>
    </row>
    <row r="7" spans="1:64" x14ac:dyDescent="0.35">
      <c r="A7" s="1" t="s">
        <v>77</v>
      </c>
      <c r="B7" s="1" t="s">
        <v>79</v>
      </c>
      <c r="C7" s="1" t="s">
        <v>82</v>
      </c>
      <c r="D7" s="1" t="s">
        <v>83</v>
      </c>
      <c r="E7" s="1" t="s">
        <v>551</v>
      </c>
      <c r="F7" s="1" t="s">
        <v>552</v>
      </c>
      <c r="I7" s="1" t="s">
        <v>77</v>
      </c>
      <c r="J7" s="1" t="s">
        <v>79</v>
      </c>
      <c r="K7" s="1" t="s">
        <v>92</v>
      </c>
      <c r="L7" s="1" t="s">
        <v>93</v>
      </c>
      <c r="O7" s="1"/>
      <c r="P7" s="1"/>
      <c r="Y7" s="7" t="s">
        <v>36</v>
      </c>
      <c r="Z7" s="7" t="s">
        <v>1616</v>
      </c>
      <c r="AC7" t="s">
        <v>36</v>
      </c>
      <c r="AD7" t="s">
        <v>1616</v>
      </c>
      <c r="AE7" t="s">
        <v>1604</v>
      </c>
      <c r="AF7" t="s">
        <v>1664</v>
      </c>
      <c r="AG7" t="s">
        <v>1713</v>
      </c>
      <c r="AH7" t="s">
        <v>1716</v>
      </c>
      <c r="AT7" t="s">
        <v>66</v>
      </c>
      <c r="AW7" t="s">
        <v>75</v>
      </c>
      <c r="AY7" s="11">
        <v>46174</v>
      </c>
      <c r="BA7" t="s">
        <v>1651</v>
      </c>
      <c r="BG7" t="s">
        <v>1936</v>
      </c>
      <c r="BH7" t="s">
        <v>1937</v>
      </c>
      <c r="BJ7" t="s">
        <v>92</v>
      </c>
      <c r="BK7" t="s">
        <v>134</v>
      </c>
      <c r="BL7" t="s">
        <v>188</v>
      </c>
    </row>
    <row r="8" spans="1:64" x14ac:dyDescent="0.35">
      <c r="A8" s="1" t="s">
        <v>77</v>
      </c>
      <c r="B8" s="1" t="s">
        <v>79</v>
      </c>
      <c r="C8" s="1" t="s">
        <v>82</v>
      </c>
      <c r="D8" s="1" t="s">
        <v>83</v>
      </c>
      <c r="E8" s="1" t="s">
        <v>761</v>
      </c>
      <c r="F8" s="1" t="s">
        <v>762</v>
      </c>
      <c r="I8" s="1" t="s">
        <v>77</v>
      </c>
      <c r="J8" s="1" t="s">
        <v>79</v>
      </c>
      <c r="K8" s="1" t="s">
        <v>94</v>
      </c>
      <c r="L8" s="1" t="s">
        <v>95</v>
      </c>
      <c r="O8" s="1"/>
      <c r="P8" s="1"/>
      <c r="Y8" s="7" t="s">
        <v>36</v>
      </c>
      <c r="Z8" s="7" t="s">
        <v>1618</v>
      </c>
      <c r="AC8" t="s">
        <v>36</v>
      </c>
      <c r="AD8" t="s">
        <v>1618</v>
      </c>
      <c r="AE8" t="s">
        <v>1604</v>
      </c>
      <c r="AF8" t="s">
        <v>1665</v>
      </c>
      <c r="AG8" t="s">
        <v>1713</v>
      </c>
      <c r="AH8" t="s">
        <v>1716</v>
      </c>
      <c r="AT8" t="s">
        <v>1661</v>
      </c>
      <c r="AY8" s="11">
        <v>46204</v>
      </c>
      <c r="BA8" t="s">
        <v>1711</v>
      </c>
      <c r="BG8" t="s">
        <v>1767</v>
      </c>
      <c r="BH8" t="s">
        <v>1768</v>
      </c>
      <c r="BJ8" t="s">
        <v>94</v>
      </c>
      <c r="BK8" t="s">
        <v>136</v>
      </c>
      <c r="BL8" t="s">
        <v>190</v>
      </c>
    </row>
    <row r="9" spans="1:64" x14ac:dyDescent="0.35">
      <c r="A9" s="1" t="s">
        <v>77</v>
      </c>
      <c r="B9" s="1" t="s">
        <v>79</v>
      </c>
      <c r="C9" s="1" t="s">
        <v>82</v>
      </c>
      <c r="D9" s="1" t="s">
        <v>83</v>
      </c>
      <c r="E9" s="1" t="s">
        <v>971</v>
      </c>
      <c r="F9" s="1" t="s">
        <v>972</v>
      </c>
      <c r="I9" s="1" t="s">
        <v>77</v>
      </c>
      <c r="J9" s="1" t="s">
        <v>79</v>
      </c>
      <c r="K9" s="1" t="s">
        <v>96</v>
      </c>
      <c r="L9" s="1" t="s">
        <v>97</v>
      </c>
      <c r="O9" s="1"/>
      <c r="P9" s="1"/>
      <c r="Y9" s="7" t="s">
        <v>36</v>
      </c>
      <c r="Z9" s="7" t="s">
        <v>1617</v>
      </c>
      <c r="AC9" t="s">
        <v>36</v>
      </c>
      <c r="AD9" t="s">
        <v>1617</v>
      </c>
      <c r="AE9" t="s">
        <v>1604</v>
      </c>
      <c r="AF9" t="s">
        <v>1666</v>
      </c>
      <c r="AG9" t="s">
        <v>1713</v>
      </c>
      <c r="AH9" t="s">
        <v>1716</v>
      </c>
      <c r="AY9" s="11">
        <v>46235</v>
      </c>
      <c r="BA9" t="s">
        <v>1656</v>
      </c>
      <c r="BG9" t="s">
        <v>1967</v>
      </c>
      <c r="BH9" t="s">
        <v>1968</v>
      </c>
      <c r="BJ9" t="s">
        <v>96</v>
      </c>
      <c r="BK9" t="s">
        <v>138</v>
      </c>
      <c r="BL9" t="s">
        <v>192</v>
      </c>
    </row>
    <row r="10" spans="1:64" x14ac:dyDescent="0.35">
      <c r="A10" s="1" t="s">
        <v>77</v>
      </c>
      <c r="B10" s="1" t="s">
        <v>79</v>
      </c>
      <c r="C10" s="1" t="s">
        <v>82</v>
      </c>
      <c r="D10" s="1" t="s">
        <v>83</v>
      </c>
      <c r="E10" s="1" t="s">
        <v>1171</v>
      </c>
      <c r="F10" s="1" t="s">
        <v>1172</v>
      </c>
      <c r="I10" s="1" t="s">
        <v>77</v>
      </c>
      <c r="J10" s="1" t="s">
        <v>79</v>
      </c>
      <c r="K10" s="1" t="s">
        <v>98</v>
      </c>
      <c r="L10" s="1" t="s">
        <v>99</v>
      </c>
      <c r="O10" s="1"/>
      <c r="P10" s="1"/>
      <c r="Y10" s="7" t="s">
        <v>36</v>
      </c>
      <c r="Z10" s="7" t="s">
        <v>1619</v>
      </c>
      <c r="AC10" t="s">
        <v>36</v>
      </c>
      <c r="AD10" t="s">
        <v>1619</v>
      </c>
      <c r="AE10" t="s">
        <v>1603</v>
      </c>
      <c r="AF10" t="s">
        <v>1667</v>
      </c>
      <c r="AG10" t="s">
        <v>1713</v>
      </c>
      <c r="AH10" t="s">
        <v>1716</v>
      </c>
      <c r="AY10" s="11">
        <v>46266</v>
      </c>
      <c r="BA10" t="s">
        <v>1653</v>
      </c>
      <c r="BG10" t="s">
        <v>1938</v>
      </c>
      <c r="BH10" t="s">
        <v>1939</v>
      </c>
      <c r="BJ10" t="s">
        <v>98</v>
      </c>
      <c r="BK10" t="s">
        <v>140</v>
      </c>
      <c r="BL10" t="s">
        <v>194</v>
      </c>
    </row>
    <row r="11" spans="1:64" x14ac:dyDescent="0.35">
      <c r="A11" s="1" t="s">
        <v>77</v>
      </c>
      <c r="B11" s="1" t="s">
        <v>79</v>
      </c>
      <c r="C11" s="1" t="s">
        <v>82</v>
      </c>
      <c r="D11" s="1" t="s">
        <v>83</v>
      </c>
      <c r="E11" s="1" t="s">
        <v>1234</v>
      </c>
      <c r="F11" s="1" t="s">
        <v>1235</v>
      </c>
      <c r="I11" s="1" t="s">
        <v>77</v>
      </c>
      <c r="J11" s="1" t="s">
        <v>79</v>
      </c>
      <c r="K11" s="1" t="s">
        <v>100</v>
      </c>
      <c r="L11" s="1" t="s">
        <v>101</v>
      </c>
      <c r="O11" s="1"/>
      <c r="P11" s="1"/>
      <c r="Y11" s="7" t="s">
        <v>36</v>
      </c>
      <c r="Z11" s="7" t="s">
        <v>1620</v>
      </c>
      <c r="AC11" t="s">
        <v>36</v>
      </c>
      <c r="AD11" t="s">
        <v>1620</v>
      </c>
      <c r="AE11" t="s">
        <v>1603</v>
      </c>
      <c r="AF11" t="s">
        <v>1664</v>
      </c>
      <c r="AG11" t="s">
        <v>1713</v>
      </c>
      <c r="AH11" t="s">
        <v>1716</v>
      </c>
      <c r="AY11" s="11">
        <v>46296</v>
      </c>
      <c r="BA11" t="s">
        <v>1659</v>
      </c>
      <c r="BG11" t="s">
        <v>1769</v>
      </c>
      <c r="BH11" t="s">
        <v>1770</v>
      </c>
      <c r="BJ11" t="s">
        <v>100</v>
      </c>
      <c r="BK11" t="s">
        <v>142</v>
      </c>
      <c r="BL11" t="s">
        <v>196</v>
      </c>
    </row>
    <row r="12" spans="1:64" x14ac:dyDescent="0.35">
      <c r="A12" s="1" t="s">
        <v>77</v>
      </c>
      <c r="B12" s="1" t="s">
        <v>79</v>
      </c>
      <c r="C12" s="1" t="s">
        <v>84</v>
      </c>
      <c r="D12" s="1" t="s">
        <v>85</v>
      </c>
      <c r="E12" s="1" t="s">
        <v>321</v>
      </c>
      <c r="F12" s="1" t="s">
        <v>322</v>
      </c>
      <c r="I12" s="1" t="s">
        <v>77</v>
      </c>
      <c r="J12" s="1" t="s">
        <v>79</v>
      </c>
      <c r="K12" s="1" t="s">
        <v>102</v>
      </c>
      <c r="L12" s="1" t="s">
        <v>103</v>
      </c>
      <c r="O12" s="1"/>
      <c r="P12" s="1"/>
      <c r="Y12" s="7" t="s">
        <v>36</v>
      </c>
      <c r="Z12" s="7" t="s">
        <v>1601</v>
      </c>
      <c r="AC12" t="s">
        <v>36</v>
      </c>
      <c r="AD12" t="s">
        <v>1601</v>
      </c>
      <c r="AE12" t="s">
        <v>1602</v>
      </c>
      <c r="AF12" t="s">
        <v>1614</v>
      </c>
      <c r="AG12" t="s">
        <v>1713</v>
      </c>
      <c r="AH12" t="s">
        <v>1720</v>
      </c>
      <c r="AY12" s="11">
        <v>46327</v>
      </c>
      <c r="BA12" t="s">
        <v>1758</v>
      </c>
      <c r="BG12" t="s">
        <v>1733</v>
      </c>
      <c r="BH12" t="s">
        <v>1771</v>
      </c>
      <c r="BJ12" t="s">
        <v>102</v>
      </c>
      <c r="BK12" t="s">
        <v>144</v>
      </c>
      <c r="BL12" t="s">
        <v>198</v>
      </c>
    </row>
    <row r="13" spans="1:64" x14ac:dyDescent="0.35">
      <c r="A13" s="1" t="s">
        <v>77</v>
      </c>
      <c r="B13" s="1" t="s">
        <v>79</v>
      </c>
      <c r="C13" s="1" t="s">
        <v>84</v>
      </c>
      <c r="D13" s="1" t="s">
        <v>85</v>
      </c>
      <c r="E13" s="1" t="s">
        <v>559</v>
      </c>
      <c r="F13" s="1" t="s">
        <v>560</v>
      </c>
      <c r="I13" s="1" t="s">
        <v>77</v>
      </c>
      <c r="J13" s="1" t="s">
        <v>79</v>
      </c>
      <c r="K13" s="1" t="s">
        <v>104</v>
      </c>
      <c r="L13" s="1" t="s">
        <v>105</v>
      </c>
      <c r="O13" s="1"/>
      <c r="P13" s="1"/>
      <c r="Y13" s="7" t="s">
        <v>58</v>
      </c>
      <c r="Z13" s="7" t="s">
        <v>1621</v>
      </c>
      <c r="AC13" t="s">
        <v>36</v>
      </c>
      <c r="AD13" t="s">
        <v>1645</v>
      </c>
      <c r="AE13" t="s">
        <v>1662</v>
      </c>
      <c r="AF13" t="s">
        <v>1667</v>
      </c>
      <c r="AG13" t="s">
        <v>1721</v>
      </c>
      <c r="AH13" t="s">
        <v>1722</v>
      </c>
      <c r="AY13" s="11">
        <v>46357</v>
      </c>
      <c r="BA13" t="s">
        <v>1655</v>
      </c>
      <c r="BG13" t="s">
        <v>1772</v>
      </c>
      <c r="BH13" t="s">
        <v>1773</v>
      </c>
      <c r="BJ13" t="s">
        <v>104</v>
      </c>
      <c r="BK13" t="s">
        <v>146</v>
      </c>
      <c r="BL13" t="s">
        <v>200</v>
      </c>
    </row>
    <row r="14" spans="1:64" x14ac:dyDescent="0.35">
      <c r="A14" s="1" t="s">
        <v>77</v>
      </c>
      <c r="B14" s="1" t="s">
        <v>79</v>
      </c>
      <c r="C14" s="1" t="s">
        <v>84</v>
      </c>
      <c r="D14" s="1" t="s">
        <v>85</v>
      </c>
      <c r="E14" s="1" t="s">
        <v>84</v>
      </c>
      <c r="F14" s="1" t="s">
        <v>571</v>
      </c>
      <c r="I14" s="1" t="s">
        <v>77</v>
      </c>
      <c r="J14" s="1" t="s">
        <v>79</v>
      </c>
      <c r="K14" s="1" t="s">
        <v>106</v>
      </c>
      <c r="L14" s="1" t="s">
        <v>107</v>
      </c>
      <c r="O14" s="1"/>
      <c r="P14" s="1"/>
      <c r="Y14" s="7" t="s">
        <v>58</v>
      </c>
      <c r="Z14" s="7" t="s">
        <v>1622</v>
      </c>
      <c r="AC14" t="s">
        <v>58</v>
      </c>
      <c r="AD14" t="s">
        <v>1621</v>
      </c>
      <c r="AE14" s="12" t="s">
        <v>1605</v>
      </c>
      <c r="AF14" t="s">
        <v>1615</v>
      </c>
      <c r="AG14" t="s">
        <v>1717</v>
      </c>
      <c r="AH14" t="s">
        <v>1719</v>
      </c>
      <c r="BA14" t="s">
        <v>1657</v>
      </c>
      <c r="BG14" t="s">
        <v>1940</v>
      </c>
      <c r="BH14" t="s">
        <v>1941</v>
      </c>
      <c r="BJ14" t="s">
        <v>106</v>
      </c>
      <c r="BK14" t="s">
        <v>148</v>
      </c>
      <c r="BL14" t="s">
        <v>202</v>
      </c>
    </row>
    <row r="15" spans="1:64" x14ac:dyDescent="0.35">
      <c r="A15" s="1" t="s">
        <v>77</v>
      </c>
      <c r="B15" s="1" t="s">
        <v>79</v>
      </c>
      <c r="C15" s="1" t="s">
        <v>84</v>
      </c>
      <c r="D15" s="1" t="s">
        <v>85</v>
      </c>
      <c r="E15" s="1" t="s">
        <v>738</v>
      </c>
      <c r="F15" s="1" t="s">
        <v>739</v>
      </c>
      <c r="I15" s="1" t="s">
        <v>77</v>
      </c>
      <c r="J15" s="1" t="s">
        <v>79</v>
      </c>
      <c r="K15" s="1" t="s">
        <v>108</v>
      </c>
      <c r="L15" s="1" t="s">
        <v>109</v>
      </c>
      <c r="O15" s="1"/>
      <c r="P15" s="1"/>
      <c r="Y15" s="7" t="s">
        <v>58</v>
      </c>
      <c r="Z15" s="7" t="s">
        <v>1623</v>
      </c>
      <c r="AC15" t="s">
        <v>58</v>
      </c>
      <c r="AD15" t="s">
        <v>1622</v>
      </c>
      <c r="AE15" t="s">
        <v>1605</v>
      </c>
      <c r="AF15" t="s">
        <v>1668</v>
      </c>
      <c r="AG15" t="s">
        <v>1717</v>
      </c>
      <c r="AH15" t="s">
        <v>1719</v>
      </c>
      <c r="BA15" t="s">
        <v>1649</v>
      </c>
      <c r="BG15" t="s">
        <v>1734</v>
      </c>
      <c r="BH15" t="s">
        <v>1774</v>
      </c>
      <c r="BJ15" t="s">
        <v>108</v>
      </c>
      <c r="BK15" t="s">
        <v>150</v>
      </c>
      <c r="BL15" t="s">
        <v>204</v>
      </c>
    </row>
    <row r="16" spans="1:64" x14ac:dyDescent="0.35">
      <c r="A16" s="1" t="s">
        <v>77</v>
      </c>
      <c r="B16" s="1" t="s">
        <v>79</v>
      </c>
      <c r="C16" s="1" t="s">
        <v>84</v>
      </c>
      <c r="D16" s="1" t="s">
        <v>85</v>
      </c>
      <c r="E16" s="1" t="s">
        <v>898</v>
      </c>
      <c r="F16" s="1" t="s">
        <v>899</v>
      </c>
      <c r="I16" s="1" t="s">
        <v>77</v>
      </c>
      <c r="J16" s="1" t="s">
        <v>79</v>
      </c>
      <c r="K16" s="1" t="s">
        <v>110</v>
      </c>
      <c r="L16" s="1" t="s">
        <v>111</v>
      </c>
      <c r="O16" s="1"/>
      <c r="P16" s="1"/>
      <c r="Y16" s="7" t="s">
        <v>58</v>
      </c>
      <c r="Z16" s="7" t="s">
        <v>1624</v>
      </c>
      <c r="AC16" t="s">
        <v>58</v>
      </c>
      <c r="AD16" t="s">
        <v>1623</v>
      </c>
      <c r="AE16" t="s">
        <v>1605</v>
      </c>
      <c r="AF16" t="s">
        <v>1668</v>
      </c>
      <c r="AG16" t="s">
        <v>1717</v>
      </c>
      <c r="AH16" t="s">
        <v>1719</v>
      </c>
      <c r="BA16" t="s">
        <v>1654</v>
      </c>
      <c r="BG16" s="36" t="s">
        <v>1775</v>
      </c>
      <c r="BH16" s="36" t="s">
        <v>1776</v>
      </c>
      <c r="BJ16" t="s">
        <v>110</v>
      </c>
      <c r="BK16" t="s">
        <v>152</v>
      </c>
      <c r="BL16" t="s">
        <v>206</v>
      </c>
    </row>
    <row r="17" spans="1:64" x14ac:dyDescent="0.35">
      <c r="A17" s="1" t="s">
        <v>77</v>
      </c>
      <c r="B17" s="1" t="s">
        <v>79</v>
      </c>
      <c r="C17" s="1" t="s">
        <v>84</v>
      </c>
      <c r="D17" s="1" t="s">
        <v>85</v>
      </c>
      <c r="E17" s="1" t="s">
        <v>1151</v>
      </c>
      <c r="F17" s="1" t="s">
        <v>1152</v>
      </c>
      <c r="I17" s="1" t="s">
        <v>77</v>
      </c>
      <c r="J17" s="1" t="s">
        <v>79</v>
      </c>
      <c r="K17" s="1" t="s">
        <v>112</v>
      </c>
      <c r="L17" s="1" t="s">
        <v>113</v>
      </c>
      <c r="O17" s="1"/>
      <c r="P17" s="1"/>
      <c r="Y17" s="7" t="s">
        <v>58</v>
      </c>
      <c r="Z17" s="7" t="s">
        <v>1595</v>
      </c>
      <c r="AC17" t="s">
        <v>58</v>
      </c>
      <c r="AD17" t="s">
        <v>1624</v>
      </c>
      <c r="AE17" t="s">
        <v>1663</v>
      </c>
      <c r="AF17" t="s">
        <v>1668</v>
      </c>
      <c r="AG17" t="s">
        <v>1717</v>
      </c>
      <c r="AH17" t="s">
        <v>1719</v>
      </c>
      <c r="BA17" t="s">
        <v>1647</v>
      </c>
      <c r="BG17" s="35" t="s">
        <v>1777</v>
      </c>
      <c r="BH17" s="35" t="s">
        <v>1778</v>
      </c>
      <c r="BJ17" t="s">
        <v>112</v>
      </c>
      <c r="BK17" t="s">
        <v>154</v>
      </c>
      <c r="BL17" t="s">
        <v>208</v>
      </c>
    </row>
    <row r="18" spans="1:64" x14ac:dyDescent="0.35">
      <c r="A18" s="1" t="s">
        <v>77</v>
      </c>
      <c r="B18" s="1" t="s">
        <v>79</v>
      </c>
      <c r="C18" s="1" t="s">
        <v>84</v>
      </c>
      <c r="D18" s="1" t="s">
        <v>85</v>
      </c>
      <c r="E18" s="1" t="s">
        <v>1313</v>
      </c>
      <c r="F18" s="1" t="s">
        <v>1314</v>
      </c>
      <c r="I18" s="1" t="s">
        <v>77</v>
      </c>
      <c r="J18" s="1" t="s">
        <v>79</v>
      </c>
      <c r="K18" s="1" t="s">
        <v>114</v>
      </c>
      <c r="L18" s="1" t="s">
        <v>115</v>
      </c>
      <c r="O18" s="1"/>
      <c r="P18" s="1"/>
      <c r="Y18" s="7" t="s">
        <v>58</v>
      </c>
      <c r="Z18" s="7" t="s">
        <v>1628</v>
      </c>
      <c r="AC18" t="s">
        <v>58</v>
      </c>
      <c r="AD18" t="s">
        <v>1595</v>
      </c>
      <c r="AE18" t="s">
        <v>1605</v>
      </c>
      <c r="AF18" t="s">
        <v>1668</v>
      </c>
      <c r="AG18" t="s">
        <v>1717</v>
      </c>
      <c r="AH18" t="s">
        <v>1719</v>
      </c>
      <c r="BG18" t="s">
        <v>1942</v>
      </c>
      <c r="BH18" t="s">
        <v>1943</v>
      </c>
      <c r="BJ18" t="s">
        <v>114</v>
      </c>
      <c r="BK18" t="s">
        <v>156</v>
      </c>
      <c r="BL18" t="s">
        <v>210</v>
      </c>
    </row>
    <row r="19" spans="1:64" x14ac:dyDescent="0.35">
      <c r="A19" s="1" t="s">
        <v>77</v>
      </c>
      <c r="B19" s="1" t="s">
        <v>79</v>
      </c>
      <c r="C19" s="1" t="s">
        <v>84</v>
      </c>
      <c r="D19" s="1" t="s">
        <v>85</v>
      </c>
      <c r="E19" s="1" t="s">
        <v>1327</v>
      </c>
      <c r="F19" s="1" t="s">
        <v>1328</v>
      </c>
      <c r="I19" s="1" t="s">
        <v>77</v>
      </c>
      <c r="J19" s="1" t="s">
        <v>79</v>
      </c>
      <c r="K19" s="1" t="s">
        <v>116</v>
      </c>
      <c r="L19" s="1" t="s">
        <v>117</v>
      </c>
      <c r="O19" s="1"/>
      <c r="P19" s="1"/>
      <c r="Y19" s="7" t="s">
        <v>58</v>
      </c>
      <c r="Z19" s="7" t="s">
        <v>1625</v>
      </c>
      <c r="AC19" t="s">
        <v>58</v>
      </c>
      <c r="AD19" t="s">
        <v>1628</v>
      </c>
      <c r="AE19" t="s">
        <v>1605</v>
      </c>
      <c r="AF19" t="s">
        <v>1668</v>
      </c>
      <c r="AG19" t="s">
        <v>1717</v>
      </c>
      <c r="AH19" t="s">
        <v>1719</v>
      </c>
      <c r="BG19" t="s">
        <v>1779</v>
      </c>
      <c r="BH19" t="s">
        <v>1780</v>
      </c>
      <c r="BJ19" t="s">
        <v>116</v>
      </c>
      <c r="BK19" t="s">
        <v>158</v>
      </c>
    </row>
    <row r="20" spans="1:64" x14ac:dyDescent="0.35">
      <c r="A20" s="1" t="s">
        <v>77</v>
      </c>
      <c r="B20" s="1" t="s">
        <v>79</v>
      </c>
      <c r="C20" s="1" t="s">
        <v>84</v>
      </c>
      <c r="D20" s="1" t="s">
        <v>85</v>
      </c>
      <c r="E20" s="1" t="s">
        <v>1463</v>
      </c>
      <c r="F20" s="1" t="s">
        <v>1464</v>
      </c>
      <c r="I20" s="1" t="s">
        <v>77</v>
      </c>
      <c r="J20" s="1" t="s">
        <v>79</v>
      </c>
      <c r="K20" s="1" t="s">
        <v>118</v>
      </c>
      <c r="L20" s="1" t="s">
        <v>119</v>
      </c>
      <c r="O20" s="1"/>
      <c r="P20" s="1"/>
      <c r="Y20" s="7" t="s">
        <v>58</v>
      </c>
      <c r="Z20" s="7" t="s">
        <v>1626</v>
      </c>
      <c r="AC20" t="s">
        <v>58</v>
      </c>
      <c r="AD20" t="s">
        <v>1625</v>
      </c>
      <c r="AE20" t="s">
        <v>1606</v>
      </c>
      <c r="AF20" t="s">
        <v>1668</v>
      </c>
      <c r="AG20" t="s">
        <v>1717</v>
      </c>
      <c r="AH20" t="s">
        <v>1718</v>
      </c>
      <c r="BG20" s="36" t="s">
        <v>1746</v>
      </c>
      <c r="BH20" s="36" t="s">
        <v>1781</v>
      </c>
      <c r="BJ20" t="s">
        <v>118</v>
      </c>
      <c r="BK20" t="s">
        <v>160</v>
      </c>
    </row>
    <row r="21" spans="1:64" x14ac:dyDescent="0.35">
      <c r="A21" s="1" t="s">
        <v>77</v>
      </c>
      <c r="B21" s="1" t="s">
        <v>79</v>
      </c>
      <c r="C21" s="1" t="s">
        <v>84</v>
      </c>
      <c r="D21" s="1" t="s">
        <v>85</v>
      </c>
      <c r="E21" s="1" t="s">
        <v>1517</v>
      </c>
      <c r="F21" s="1" t="s">
        <v>1518</v>
      </c>
      <c r="I21" s="1" t="s">
        <v>77</v>
      </c>
      <c r="J21" s="1" t="s">
        <v>79</v>
      </c>
      <c r="K21" s="1" t="s">
        <v>120</v>
      </c>
      <c r="L21" s="1" t="s">
        <v>121</v>
      </c>
      <c r="O21" s="1"/>
      <c r="P21" s="1"/>
      <c r="Y21" s="7" t="s">
        <v>58</v>
      </c>
      <c r="Z21" s="7" t="s">
        <v>1627</v>
      </c>
      <c r="AC21" t="s">
        <v>58</v>
      </c>
      <c r="AD21" t="s">
        <v>1626</v>
      </c>
      <c r="AE21" t="s">
        <v>1605</v>
      </c>
      <c r="AF21" t="s">
        <v>1668</v>
      </c>
      <c r="AG21" t="s">
        <v>1717</v>
      </c>
      <c r="AH21" t="s">
        <v>1719</v>
      </c>
      <c r="BG21" t="s">
        <v>1782</v>
      </c>
      <c r="BH21" t="s">
        <v>1783</v>
      </c>
      <c r="BJ21" t="s">
        <v>120</v>
      </c>
      <c r="BK21" t="s">
        <v>162</v>
      </c>
    </row>
    <row r="22" spans="1:64" x14ac:dyDescent="0.35">
      <c r="A22" s="1" t="s">
        <v>77</v>
      </c>
      <c r="B22" s="1" t="s">
        <v>79</v>
      </c>
      <c r="C22" s="1" t="s">
        <v>84</v>
      </c>
      <c r="D22" s="1" t="s">
        <v>85</v>
      </c>
      <c r="E22" s="1" t="s">
        <v>1527</v>
      </c>
      <c r="F22" s="1" t="s">
        <v>1528</v>
      </c>
      <c r="I22" s="1" t="s">
        <v>77</v>
      </c>
      <c r="J22" s="1" t="s">
        <v>79</v>
      </c>
      <c r="K22" s="1" t="s">
        <v>122</v>
      </c>
      <c r="L22" s="1" t="s">
        <v>123</v>
      </c>
      <c r="O22" s="1"/>
      <c r="P22" s="1"/>
      <c r="Y22" s="7" t="s">
        <v>58</v>
      </c>
      <c r="Z22" s="7" t="s">
        <v>1629</v>
      </c>
      <c r="AC22" t="s">
        <v>58</v>
      </c>
      <c r="AD22" t="s">
        <v>1627</v>
      </c>
      <c r="AE22" t="s">
        <v>1663</v>
      </c>
      <c r="AF22" t="s">
        <v>1668</v>
      </c>
      <c r="AG22" t="s">
        <v>1717</v>
      </c>
      <c r="AH22" t="s">
        <v>1719</v>
      </c>
      <c r="BG22" s="34" t="s">
        <v>1995</v>
      </c>
      <c r="BH22" s="34" t="s">
        <v>1784</v>
      </c>
      <c r="BJ22" t="s">
        <v>122</v>
      </c>
      <c r="BK22" t="s">
        <v>164</v>
      </c>
    </row>
    <row r="23" spans="1:64" x14ac:dyDescent="0.35">
      <c r="A23" s="1" t="s">
        <v>77</v>
      </c>
      <c r="B23" s="1" t="s">
        <v>79</v>
      </c>
      <c r="C23" s="1" t="s">
        <v>86</v>
      </c>
      <c r="D23" s="1" t="s">
        <v>87</v>
      </c>
      <c r="E23" s="1" t="s">
        <v>282</v>
      </c>
      <c r="F23" s="1" t="s">
        <v>283</v>
      </c>
      <c r="I23" s="1" t="s">
        <v>76</v>
      </c>
      <c r="J23" s="1" t="s">
        <v>80</v>
      </c>
      <c r="K23" s="1" t="s">
        <v>124</v>
      </c>
      <c r="L23" s="1" t="s">
        <v>125</v>
      </c>
      <c r="O23" s="1"/>
      <c r="P23" s="1"/>
      <c r="Y23" s="7" t="s">
        <v>58</v>
      </c>
      <c r="Z23" s="7" t="s">
        <v>1635</v>
      </c>
      <c r="AC23" t="s">
        <v>58</v>
      </c>
      <c r="AD23" t="s">
        <v>1629</v>
      </c>
      <c r="AE23" t="s">
        <v>1605</v>
      </c>
      <c r="AF23" t="s">
        <v>1668</v>
      </c>
      <c r="AG23" t="s">
        <v>1717</v>
      </c>
      <c r="AH23" t="s">
        <v>1719</v>
      </c>
      <c r="BG23" t="s">
        <v>1726</v>
      </c>
      <c r="BH23" t="s">
        <v>1785</v>
      </c>
      <c r="BK23" t="s">
        <v>166</v>
      </c>
    </row>
    <row r="24" spans="1:64" x14ac:dyDescent="0.35">
      <c r="A24" s="1" t="s">
        <v>77</v>
      </c>
      <c r="B24" s="1" t="s">
        <v>79</v>
      </c>
      <c r="C24" s="1" t="s">
        <v>86</v>
      </c>
      <c r="D24" s="1" t="s">
        <v>87</v>
      </c>
      <c r="E24" s="1" t="s">
        <v>622</v>
      </c>
      <c r="F24" s="1" t="s">
        <v>623</v>
      </c>
      <c r="I24" s="1" t="s">
        <v>76</v>
      </c>
      <c r="J24" s="1" t="s">
        <v>80</v>
      </c>
      <c r="K24" s="1" t="s">
        <v>126</v>
      </c>
      <c r="L24" s="1" t="s">
        <v>127</v>
      </c>
      <c r="O24" s="1"/>
      <c r="P24" s="1"/>
      <c r="Y24" s="7" t="s">
        <v>58</v>
      </c>
      <c r="Z24" s="7" t="s">
        <v>1630</v>
      </c>
      <c r="AC24" t="s">
        <v>58</v>
      </c>
      <c r="AD24" t="s">
        <v>1635</v>
      </c>
      <c r="AE24" t="s">
        <v>1607</v>
      </c>
      <c r="AF24" t="s">
        <v>1670</v>
      </c>
      <c r="AG24" t="s">
        <v>1717</v>
      </c>
      <c r="AH24" t="s">
        <v>1718</v>
      </c>
      <c r="BG24" t="s">
        <v>1786</v>
      </c>
      <c r="BH24" t="s">
        <v>1787</v>
      </c>
      <c r="BK24" t="s">
        <v>168</v>
      </c>
    </row>
    <row r="25" spans="1:64" x14ac:dyDescent="0.35">
      <c r="A25" s="1" t="s">
        <v>77</v>
      </c>
      <c r="B25" s="1" t="s">
        <v>79</v>
      </c>
      <c r="C25" s="1" t="s">
        <v>86</v>
      </c>
      <c r="D25" s="1" t="s">
        <v>87</v>
      </c>
      <c r="E25" s="1" t="s">
        <v>626</v>
      </c>
      <c r="F25" s="1" t="s">
        <v>627</v>
      </c>
      <c r="I25" s="1" t="s">
        <v>76</v>
      </c>
      <c r="J25" s="1" t="s">
        <v>80</v>
      </c>
      <c r="K25" s="1" t="s">
        <v>128</v>
      </c>
      <c r="L25" s="1" t="s">
        <v>129</v>
      </c>
      <c r="O25" s="1"/>
      <c r="P25" s="1"/>
      <c r="Y25" s="7" t="s">
        <v>58</v>
      </c>
      <c r="Z25" s="7" t="s">
        <v>1631</v>
      </c>
      <c r="AC25" t="s">
        <v>58</v>
      </c>
      <c r="AD25" t="s">
        <v>1630</v>
      </c>
      <c r="AE25" t="s">
        <v>1605</v>
      </c>
      <c r="AF25" t="s">
        <v>1671</v>
      </c>
      <c r="AG25" t="s">
        <v>1717</v>
      </c>
      <c r="AH25" t="s">
        <v>1719</v>
      </c>
      <c r="BG25" t="s">
        <v>1969</v>
      </c>
      <c r="BH25" t="s">
        <v>1970</v>
      </c>
      <c r="BK25" t="s">
        <v>170</v>
      </c>
    </row>
    <row r="26" spans="1:64" x14ac:dyDescent="0.35">
      <c r="A26" s="1" t="s">
        <v>77</v>
      </c>
      <c r="B26" s="1" t="s">
        <v>79</v>
      </c>
      <c r="C26" s="1" t="s">
        <v>86</v>
      </c>
      <c r="D26" s="1" t="s">
        <v>87</v>
      </c>
      <c r="E26" s="1" t="s">
        <v>628</v>
      </c>
      <c r="F26" s="1" t="s">
        <v>629</v>
      </c>
      <c r="I26" s="1" t="s">
        <v>76</v>
      </c>
      <c r="J26" s="1" t="s">
        <v>80</v>
      </c>
      <c r="K26" s="1" t="s">
        <v>130</v>
      </c>
      <c r="L26" s="1" t="s">
        <v>131</v>
      </c>
      <c r="O26" s="1"/>
      <c r="P26" s="1"/>
      <c r="Y26" s="7" t="s">
        <v>58</v>
      </c>
      <c r="Z26" s="7" t="s">
        <v>1633</v>
      </c>
      <c r="AC26" t="s">
        <v>58</v>
      </c>
      <c r="AD26" t="s">
        <v>1631</v>
      </c>
      <c r="AE26" t="s">
        <v>1605</v>
      </c>
      <c r="AF26" t="s">
        <v>1671</v>
      </c>
      <c r="AG26" t="s">
        <v>1717</v>
      </c>
      <c r="AH26" t="s">
        <v>1719</v>
      </c>
      <c r="BG26" t="s">
        <v>1788</v>
      </c>
      <c r="BH26" t="s">
        <v>1789</v>
      </c>
      <c r="BK26" t="s">
        <v>172</v>
      </c>
    </row>
    <row r="27" spans="1:64" x14ac:dyDescent="0.35">
      <c r="A27" s="1" t="s">
        <v>77</v>
      </c>
      <c r="B27" s="1" t="s">
        <v>79</v>
      </c>
      <c r="C27" s="1" t="s">
        <v>86</v>
      </c>
      <c r="D27" s="1" t="s">
        <v>87</v>
      </c>
      <c r="E27" s="1" t="s">
        <v>740</v>
      </c>
      <c r="F27" s="1" t="s">
        <v>741</v>
      </c>
      <c r="I27" s="1" t="s">
        <v>76</v>
      </c>
      <c r="J27" s="1" t="s">
        <v>80</v>
      </c>
      <c r="K27" s="1" t="s">
        <v>132</v>
      </c>
      <c r="L27" s="1" t="s">
        <v>133</v>
      </c>
      <c r="O27" s="1"/>
      <c r="P27" s="1"/>
      <c r="Y27" s="7" t="s">
        <v>58</v>
      </c>
      <c r="Z27" s="7" t="s">
        <v>1634</v>
      </c>
      <c r="AC27" t="s">
        <v>58</v>
      </c>
      <c r="AD27" t="s">
        <v>1633</v>
      </c>
      <c r="AE27" t="s">
        <v>1605</v>
      </c>
      <c r="AF27" t="s">
        <v>1671</v>
      </c>
      <c r="AG27" t="s">
        <v>1717</v>
      </c>
      <c r="AH27" t="s">
        <v>1719</v>
      </c>
      <c r="BG27" t="s">
        <v>1944</v>
      </c>
      <c r="BH27" t="s">
        <v>1945</v>
      </c>
      <c r="BK27" t="s">
        <v>174</v>
      </c>
    </row>
    <row r="28" spans="1:64" x14ac:dyDescent="0.35">
      <c r="A28" s="1" t="s">
        <v>77</v>
      </c>
      <c r="B28" s="1" t="s">
        <v>79</v>
      </c>
      <c r="C28" s="1" t="s">
        <v>86</v>
      </c>
      <c r="D28" s="1" t="s">
        <v>87</v>
      </c>
      <c r="E28" s="1" t="s">
        <v>817</v>
      </c>
      <c r="F28" s="1" t="s">
        <v>818</v>
      </c>
      <c r="I28" s="1" t="s">
        <v>76</v>
      </c>
      <c r="J28" s="1" t="s">
        <v>80</v>
      </c>
      <c r="K28" s="1" t="s">
        <v>134</v>
      </c>
      <c r="L28" s="1" t="s">
        <v>135</v>
      </c>
      <c r="O28" s="1"/>
      <c r="P28" s="1"/>
      <c r="Y28" s="7" t="s">
        <v>58</v>
      </c>
      <c r="Z28" s="7" t="s">
        <v>1632</v>
      </c>
      <c r="AC28" t="s">
        <v>58</v>
      </c>
      <c r="AD28" t="s">
        <v>1634</v>
      </c>
      <c r="AE28" t="s">
        <v>1605</v>
      </c>
      <c r="AF28" t="s">
        <v>1671</v>
      </c>
      <c r="AG28" t="s">
        <v>1717</v>
      </c>
      <c r="AH28" t="s">
        <v>1719</v>
      </c>
      <c r="BG28" s="35" t="s">
        <v>1790</v>
      </c>
      <c r="BH28" s="35" t="s">
        <v>1791</v>
      </c>
      <c r="BK28" t="s">
        <v>176</v>
      </c>
    </row>
    <row r="29" spans="1:64" x14ac:dyDescent="0.35">
      <c r="A29" s="1" t="s">
        <v>77</v>
      </c>
      <c r="B29" s="1" t="s">
        <v>79</v>
      </c>
      <c r="C29" s="1" t="s">
        <v>86</v>
      </c>
      <c r="D29" s="1" t="s">
        <v>87</v>
      </c>
      <c r="E29" s="1" t="s">
        <v>1348</v>
      </c>
      <c r="F29" s="1" t="s">
        <v>1349</v>
      </c>
      <c r="I29" s="1" t="s">
        <v>76</v>
      </c>
      <c r="J29" s="1" t="s">
        <v>80</v>
      </c>
      <c r="K29" s="1" t="s">
        <v>136</v>
      </c>
      <c r="L29" s="1" t="s">
        <v>137</v>
      </c>
      <c r="O29" s="1"/>
      <c r="P29" s="1"/>
      <c r="Y29" s="7" t="s">
        <v>58</v>
      </c>
      <c r="Z29" s="7" t="s">
        <v>1636</v>
      </c>
      <c r="AC29" t="s">
        <v>58</v>
      </c>
      <c r="AD29" t="s">
        <v>1632</v>
      </c>
      <c r="AE29" t="s">
        <v>1605</v>
      </c>
      <c r="AF29" t="s">
        <v>1671</v>
      </c>
      <c r="AG29" t="s">
        <v>1717</v>
      </c>
      <c r="AH29" t="s">
        <v>1719</v>
      </c>
      <c r="BG29" t="s">
        <v>1946</v>
      </c>
      <c r="BH29" t="s">
        <v>1791</v>
      </c>
    </row>
    <row r="30" spans="1:64" x14ac:dyDescent="0.35">
      <c r="A30" s="1" t="s">
        <v>77</v>
      </c>
      <c r="B30" s="1" t="s">
        <v>79</v>
      </c>
      <c r="C30" s="1" t="s">
        <v>86</v>
      </c>
      <c r="D30" s="1" t="s">
        <v>87</v>
      </c>
      <c r="E30" s="1" t="s">
        <v>1391</v>
      </c>
      <c r="F30" s="1" t="s">
        <v>1392</v>
      </c>
      <c r="I30" s="1" t="s">
        <v>76</v>
      </c>
      <c r="J30" s="1" t="s">
        <v>80</v>
      </c>
      <c r="K30" s="1" t="s">
        <v>138</v>
      </c>
      <c r="L30" s="1" t="s">
        <v>139</v>
      </c>
      <c r="O30" s="1"/>
      <c r="P30" s="1"/>
      <c r="Y30" s="7" t="s">
        <v>64</v>
      </c>
      <c r="Z30" s="8" t="s">
        <v>1638</v>
      </c>
      <c r="AC30" t="s">
        <v>58</v>
      </c>
      <c r="AD30" t="s">
        <v>1636</v>
      </c>
      <c r="AE30" t="s">
        <v>1607</v>
      </c>
      <c r="AF30" t="s">
        <v>1672</v>
      </c>
      <c r="AG30" t="s">
        <v>1717</v>
      </c>
      <c r="AH30" t="s">
        <v>1718</v>
      </c>
      <c r="BG30" t="s">
        <v>1727</v>
      </c>
      <c r="BH30" t="s">
        <v>1792</v>
      </c>
    </row>
    <row r="31" spans="1:64" x14ac:dyDescent="0.35">
      <c r="A31" s="1" t="s">
        <v>77</v>
      </c>
      <c r="B31" s="1" t="s">
        <v>79</v>
      </c>
      <c r="C31" s="1" t="s">
        <v>86</v>
      </c>
      <c r="D31" s="1" t="s">
        <v>87</v>
      </c>
      <c r="E31" s="1" t="s">
        <v>1429</v>
      </c>
      <c r="F31" s="1" t="s">
        <v>1430</v>
      </c>
      <c r="I31" s="1" t="s">
        <v>76</v>
      </c>
      <c r="J31" s="1" t="s">
        <v>80</v>
      </c>
      <c r="K31" s="1" t="s">
        <v>140</v>
      </c>
      <c r="L31" s="1" t="s">
        <v>141</v>
      </c>
      <c r="O31" s="1"/>
      <c r="P31" s="1"/>
      <c r="Y31" s="7" t="s">
        <v>64</v>
      </c>
      <c r="Z31" s="9" t="s">
        <v>1639</v>
      </c>
      <c r="AC31" t="s">
        <v>58</v>
      </c>
      <c r="AD31" t="s">
        <v>1645</v>
      </c>
      <c r="AE31" t="s">
        <v>1662</v>
      </c>
      <c r="AF31" t="s">
        <v>1667</v>
      </c>
      <c r="AG31" t="s">
        <v>1721</v>
      </c>
      <c r="AH31" t="s">
        <v>1722</v>
      </c>
      <c r="BG31" t="s">
        <v>1793</v>
      </c>
      <c r="BH31" t="s">
        <v>1794</v>
      </c>
    </row>
    <row r="32" spans="1:64" x14ac:dyDescent="0.35">
      <c r="A32" s="1" t="s">
        <v>77</v>
      </c>
      <c r="B32" s="1" t="s">
        <v>79</v>
      </c>
      <c r="C32" s="1" t="s">
        <v>86</v>
      </c>
      <c r="D32" s="1" t="s">
        <v>87</v>
      </c>
      <c r="E32" s="1" t="s">
        <v>1541</v>
      </c>
      <c r="F32" s="1" t="s">
        <v>1542</v>
      </c>
      <c r="I32" s="1" t="s">
        <v>76</v>
      </c>
      <c r="J32" s="1" t="s">
        <v>80</v>
      </c>
      <c r="K32" s="1" t="s">
        <v>142</v>
      </c>
      <c r="L32" s="1" t="s">
        <v>143</v>
      </c>
      <c r="O32" s="1"/>
      <c r="P32" s="1"/>
      <c r="Y32" s="7" t="s">
        <v>64</v>
      </c>
      <c r="Z32" s="10" t="s">
        <v>1640</v>
      </c>
      <c r="AC32" t="s">
        <v>64</v>
      </c>
      <c r="AD32" t="s">
        <v>1682</v>
      </c>
      <c r="AE32" t="s">
        <v>1609</v>
      </c>
      <c r="AF32" t="s">
        <v>1670</v>
      </c>
      <c r="AG32" t="s">
        <v>1721</v>
      </c>
      <c r="AH32" t="s">
        <v>1722</v>
      </c>
      <c r="BG32" t="s">
        <v>1795</v>
      </c>
      <c r="BH32" t="s">
        <v>1796</v>
      </c>
    </row>
    <row r="33" spans="1:60" x14ac:dyDescent="0.35">
      <c r="A33" s="1" t="s">
        <v>77</v>
      </c>
      <c r="B33" s="1" t="s">
        <v>79</v>
      </c>
      <c r="C33" s="1" t="s">
        <v>88</v>
      </c>
      <c r="D33" s="1" t="s">
        <v>89</v>
      </c>
      <c r="E33" s="1" t="s">
        <v>431</v>
      </c>
      <c r="F33" s="1" t="s">
        <v>348</v>
      </c>
      <c r="I33" s="1" t="s">
        <v>76</v>
      </c>
      <c r="J33" s="1" t="s">
        <v>80</v>
      </c>
      <c r="K33" s="1" t="s">
        <v>144</v>
      </c>
      <c r="L33" s="1" t="s">
        <v>145</v>
      </c>
      <c r="O33" s="1"/>
      <c r="P33" s="1"/>
      <c r="Y33" s="7" t="s">
        <v>64</v>
      </c>
      <c r="Z33" s="10" t="s">
        <v>1641</v>
      </c>
      <c r="AC33" t="s">
        <v>64</v>
      </c>
      <c r="AD33" t="s">
        <v>1639</v>
      </c>
      <c r="AE33" t="s">
        <v>1609</v>
      </c>
      <c r="AF33" t="s">
        <v>1670</v>
      </c>
      <c r="AG33" t="s">
        <v>1721</v>
      </c>
      <c r="AH33" t="s">
        <v>1722</v>
      </c>
      <c r="BG33" t="s">
        <v>1947</v>
      </c>
      <c r="BH33" t="s">
        <v>1948</v>
      </c>
    </row>
    <row r="34" spans="1:60" x14ac:dyDescent="0.35">
      <c r="A34" s="1" t="s">
        <v>77</v>
      </c>
      <c r="B34" s="1" t="s">
        <v>79</v>
      </c>
      <c r="C34" s="1" t="s">
        <v>88</v>
      </c>
      <c r="D34" s="1" t="s">
        <v>89</v>
      </c>
      <c r="E34" s="1" t="s">
        <v>453</v>
      </c>
      <c r="F34" s="1" t="s">
        <v>550</v>
      </c>
      <c r="I34" s="1" t="s">
        <v>76</v>
      </c>
      <c r="J34" s="1" t="s">
        <v>80</v>
      </c>
      <c r="K34" s="1" t="s">
        <v>146</v>
      </c>
      <c r="L34" s="1" t="s">
        <v>147</v>
      </c>
      <c r="O34" s="1"/>
      <c r="P34" s="1"/>
      <c r="Y34" s="7" t="s">
        <v>64</v>
      </c>
      <c r="Z34" s="7" t="s">
        <v>1637</v>
      </c>
      <c r="AC34" t="s">
        <v>64</v>
      </c>
      <c r="AD34" t="s">
        <v>1640</v>
      </c>
      <c r="AE34" t="s">
        <v>1609</v>
      </c>
      <c r="AF34" t="s">
        <v>1670</v>
      </c>
      <c r="AG34" t="s">
        <v>1721</v>
      </c>
      <c r="AH34" t="s">
        <v>1722</v>
      </c>
      <c r="BG34" t="s">
        <v>1949</v>
      </c>
      <c r="BH34" t="s">
        <v>1950</v>
      </c>
    </row>
    <row r="35" spans="1:60" x14ac:dyDescent="0.35">
      <c r="A35" s="1" t="s">
        <v>77</v>
      </c>
      <c r="B35" s="1" t="s">
        <v>79</v>
      </c>
      <c r="C35" s="1" t="s">
        <v>88</v>
      </c>
      <c r="D35" s="1" t="s">
        <v>89</v>
      </c>
      <c r="E35" s="1" t="s">
        <v>665</v>
      </c>
      <c r="F35" s="1" t="s">
        <v>583</v>
      </c>
      <c r="I35" s="1" t="s">
        <v>76</v>
      </c>
      <c r="J35" s="1" t="s">
        <v>80</v>
      </c>
      <c r="K35" s="1" t="s">
        <v>148</v>
      </c>
      <c r="L35" s="1" t="s">
        <v>149</v>
      </c>
      <c r="O35" s="1"/>
      <c r="P35" s="1"/>
      <c r="Y35" s="7" t="s">
        <v>64</v>
      </c>
      <c r="Z35" s="7" t="s">
        <v>1644</v>
      </c>
      <c r="AC35" t="s">
        <v>64</v>
      </c>
      <c r="AD35" t="s">
        <v>1641</v>
      </c>
      <c r="AE35" t="s">
        <v>1609</v>
      </c>
      <c r="AF35" t="s">
        <v>1670</v>
      </c>
      <c r="AG35" t="s">
        <v>1721</v>
      </c>
      <c r="AH35" t="s">
        <v>1722</v>
      </c>
      <c r="BG35" t="s">
        <v>1797</v>
      </c>
      <c r="BH35" t="s">
        <v>1798</v>
      </c>
    </row>
    <row r="36" spans="1:60" x14ac:dyDescent="0.35">
      <c r="A36" s="1" t="s">
        <v>77</v>
      </c>
      <c r="B36" s="1" t="s">
        <v>79</v>
      </c>
      <c r="C36" s="1" t="s">
        <v>88</v>
      </c>
      <c r="D36" s="1" t="s">
        <v>89</v>
      </c>
      <c r="E36" s="1" t="s">
        <v>669</v>
      </c>
      <c r="F36" s="1" t="s">
        <v>587</v>
      </c>
      <c r="I36" s="1" t="s">
        <v>76</v>
      </c>
      <c r="J36" s="1" t="s">
        <v>80</v>
      </c>
      <c r="K36" s="1" t="s">
        <v>150</v>
      </c>
      <c r="L36" s="1" t="s">
        <v>151</v>
      </c>
      <c r="O36" s="1"/>
      <c r="P36" s="1"/>
      <c r="Y36" s="7" t="s">
        <v>64</v>
      </c>
      <c r="Z36" s="7" t="s">
        <v>1642</v>
      </c>
      <c r="AC36" t="s">
        <v>64</v>
      </c>
      <c r="AD36" t="s">
        <v>1637</v>
      </c>
      <c r="AE36" t="s">
        <v>1609</v>
      </c>
      <c r="AF36" t="s">
        <v>1670</v>
      </c>
      <c r="AG36" t="s">
        <v>1721</v>
      </c>
      <c r="AH36" t="s">
        <v>1722</v>
      </c>
      <c r="BG36" t="s">
        <v>1799</v>
      </c>
      <c r="BH36" t="s">
        <v>1800</v>
      </c>
    </row>
    <row r="37" spans="1:60" x14ac:dyDescent="0.35">
      <c r="A37" s="1" t="s">
        <v>77</v>
      </c>
      <c r="B37" s="1" t="s">
        <v>79</v>
      </c>
      <c r="C37" s="1" t="s">
        <v>88</v>
      </c>
      <c r="D37" s="1" t="s">
        <v>89</v>
      </c>
      <c r="E37" s="1" t="s">
        <v>671</v>
      </c>
      <c r="F37" s="1" t="s">
        <v>637</v>
      </c>
      <c r="I37" s="1" t="s">
        <v>76</v>
      </c>
      <c r="J37" s="1" t="s">
        <v>80</v>
      </c>
      <c r="K37" s="1" t="s">
        <v>152</v>
      </c>
      <c r="L37" s="1" t="s">
        <v>153</v>
      </c>
      <c r="O37" s="1"/>
      <c r="P37" s="1"/>
      <c r="Y37" s="7" t="s">
        <v>64</v>
      </c>
      <c r="Z37" s="7" t="s">
        <v>1643</v>
      </c>
      <c r="AC37" t="s">
        <v>64</v>
      </c>
      <c r="AD37" t="s">
        <v>1644</v>
      </c>
      <c r="AE37" t="s">
        <v>1608</v>
      </c>
      <c r="AF37" t="s">
        <v>1667</v>
      </c>
      <c r="AG37" t="s">
        <v>1721</v>
      </c>
      <c r="AH37" t="s">
        <v>1722</v>
      </c>
      <c r="BG37" t="s">
        <v>1801</v>
      </c>
      <c r="BH37" t="s">
        <v>1802</v>
      </c>
    </row>
    <row r="38" spans="1:60" x14ac:dyDescent="0.35">
      <c r="A38" s="1" t="s">
        <v>77</v>
      </c>
      <c r="B38" s="1" t="s">
        <v>79</v>
      </c>
      <c r="C38" s="1" t="s">
        <v>88</v>
      </c>
      <c r="D38" s="1" t="s">
        <v>89</v>
      </c>
      <c r="E38" s="1" t="s">
        <v>844</v>
      </c>
      <c r="F38" s="1" t="s">
        <v>678</v>
      </c>
      <c r="I38" s="1" t="s">
        <v>76</v>
      </c>
      <c r="J38" s="1" t="s">
        <v>80</v>
      </c>
      <c r="K38" s="1" t="s">
        <v>154</v>
      </c>
      <c r="L38" s="1" t="s">
        <v>155</v>
      </c>
      <c r="O38" s="1"/>
      <c r="P38" s="1"/>
      <c r="Y38" s="7" t="s">
        <v>64</v>
      </c>
      <c r="Z38" s="7" t="s">
        <v>1594</v>
      </c>
      <c r="AC38" t="s">
        <v>64</v>
      </c>
      <c r="AD38" t="s">
        <v>1642</v>
      </c>
      <c r="AE38" t="s">
        <v>1608</v>
      </c>
      <c r="AF38" t="s">
        <v>1667</v>
      </c>
      <c r="AG38" t="s">
        <v>1721</v>
      </c>
      <c r="AH38" t="s">
        <v>1722</v>
      </c>
      <c r="BG38" t="s">
        <v>1694</v>
      </c>
      <c r="BH38" t="s">
        <v>1803</v>
      </c>
    </row>
    <row r="39" spans="1:60" x14ac:dyDescent="0.35">
      <c r="A39" s="1" t="s">
        <v>77</v>
      </c>
      <c r="B39" s="1" t="s">
        <v>79</v>
      </c>
      <c r="C39" s="1" t="s">
        <v>88</v>
      </c>
      <c r="D39" s="1" t="s">
        <v>89</v>
      </c>
      <c r="E39" s="1" t="s">
        <v>846</v>
      </c>
      <c r="F39" s="1" t="s">
        <v>680</v>
      </c>
      <c r="I39" s="1" t="s">
        <v>76</v>
      </c>
      <c r="J39" s="1" t="s">
        <v>80</v>
      </c>
      <c r="K39" s="1" t="s">
        <v>156</v>
      </c>
      <c r="L39" s="1" t="s">
        <v>157</v>
      </c>
      <c r="O39" s="1"/>
      <c r="P39" s="1"/>
      <c r="Y39" s="7" t="s">
        <v>36</v>
      </c>
      <c r="Z39" s="7" t="s">
        <v>1645</v>
      </c>
      <c r="AC39" t="s">
        <v>64</v>
      </c>
      <c r="AD39" t="s">
        <v>1643</v>
      </c>
      <c r="AE39" t="s">
        <v>1608</v>
      </c>
      <c r="AF39" t="s">
        <v>1667</v>
      </c>
      <c r="AG39" t="s">
        <v>1721</v>
      </c>
      <c r="AH39" t="s">
        <v>1722</v>
      </c>
      <c r="BG39" t="s">
        <v>1735</v>
      </c>
      <c r="BH39" t="s">
        <v>1804</v>
      </c>
    </row>
    <row r="40" spans="1:60" x14ac:dyDescent="0.35">
      <c r="A40" s="1" t="s">
        <v>77</v>
      </c>
      <c r="B40" s="1" t="s">
        <v>79</v>
      </c>
      <c r="C40" s="1" t="s">
        <v>88</v>
      </c>
      <c r="D40" s="1" t="s">
        <v>89</v>
      </c>
      <c r="E40" s="1" t="s">
        <v>1189</v>
      </c>
      <c r="F40" s="1" t="s">
        <v>751</v>
      </c>
      <c r="I40" s="1" t="s">
        <v>76</v>
      </c>
      <c r="J40" s="1" t="s">
        <v>80</v>
      </c>
      <c r="K40" s="1" t="s">
        <v>158</v>
      </c>
      <c r="L40" s="1" t="s">
        <v>159</v>
      </c>
      <c r="O40" s="1"/>
      <c r="P40" s="1"/>
      <c r="Y40" s="7" t="s">
        <v>58</v>
      </c>
      <c r="Z40" s="7" t="s">
        <v>1645</v>
      </c>
      <c r="AC40" t="s">
        <v>64</v>
      </c>
      <c r="AD40" t="s">
        <v>1681</v>
      </c>
      <c r="AE40" s="12" t="s">
        <v>1609</v>
      </c>
      <c r="AF40" t="s">
        <v>1673</v>
      </c>
      <c r="AG40" t="s">
        <v>1721</v>
      </c>
      <c r="AH40" t="s">
        <v>1722</v>
      </c>
      <c r="BG40" t="s">
        <v>1728</v>
      </c>
      <c r="BH40" t="s">
        <v>1805</v>
      </c>
    </row>
    <row r="41" spans="1:60" x14ac:dyDescent="0.35">
      <c r="A41" s="1" t="s">
        <v>77</v>
      </c>
      <c r="B41" s="1" t="s">
        <v>79</v>
      </c>
      <c r="C41" s="1" t="s">
        <v>88</v>
      </c>
      <c r="D41" s="1" t="s">
        <v>89</v>
      </c>
      <c r="E41" s="1" t="s">
        <v>1415</v>
      </c>
      <c r="F41" s="1" t="s">
        <v>1420</v>
      </c>
      <c r="I41" s="1" t="s">
        <v>76</v>
      </c>
      <c r="J41" s="1" t="s">
        <v>80</v>
      </c>
      <c r="K41" s="1" t="s">
        <v>160</v>
      </c>
      <c r="L41" s="1" t="s">
        <v>161</v>
      </c>
      <c r="O41" s="1"/>
      <c r="P41" s="1"/>
      <c r="Y41" s="7" t="s">
        <v>64</v>
      </c>
      <c r="Z41" s="7" t="s">
        <v>1645</v>
      </c>
      <c r="AC41" t="s">
        <v>64</v>
      </c>
      <c r="AD41" t="s">
        <v>1645</v>
      </c>
      <c r="AE41" t="s">
        <v>1662</v>
      </c>
      <c r="AF41" t="s">
        <v>1667</v>
      </c>
      <c r="AG41" t="s">
        <v>1721</v>
      </c>
      <c r="AH41" t="s">
        <v>1722</v>
      </c>
      <c r="BG41" t="s">
        <v>1971</v>
      </c>
      <c r="BH41" t="s">
        <v>1972</v>
      </c>
    </row>
    <row r="42" spans="1:60" x14ac:dyDescent="0.35">
      <c r="A42" s="1" t="s">
        <v>77</v>
      </c>
      <c r="B42" s="1" t="s">
        <v>79</v>
      </c>
      <c r="C42" s="1" t="s">
        <v>88</v>
      </c>
      <c r="D42" s="1" t="s">
        <v>89</v>
      </c>
      <c r="E42" s="1" t="s">
        <v>1519</v>
      </c>
      <c r="F42" s="1" t="s">
        <v>1534</v>
      </c>
      <c r="I42" s="1" t="s">
        <v>76</v>
      </c>
      <c r="J42" s="1" t="s">
        <v>80</v>
      </c>
      <c r="K42" s="1" t="s">
        <v>162</v>
      </c>
      <c r="L42" s="1" t="s">
        <v>163</v>
      </c>
      <c r="O42" s="1"/>
      <c r="P42" s="1"/>
      <c r="BG42" t="s">
        <v>1736</v>
      </c>
      <c r="BH42" t="s">
        <v>1806</v>
      </c>
    </row>
    <row r="43" spans="1:60" x14ac:dyDescent="0.35">
      <c r="A43" s="1" t="s">
        <v>77</v>
      </c>
      <c r="B43" s="1" t="s">
        <v>79</v>
      </c>
      <c r="C43" s="1" t="s">
        <v>90</v>
      </c>
      <c r="D43" s="1" t="s">
        <v>91</v>
      </c>
      <c r="E43" s="1" t="s">
        <v>347</v>
      </c>
      <c r="F43" s="1" t="s">
        <v>432</v>
      </c>
      <c r="I43" s="1" t="s">
        <v>76</v>
      </c>
      <c r="J43" s="1" t="s">
        <v>80</v>
      </c>
      <c r="K43" s="1" t="s">
        <v>164</v>
      </c>
      <c r="L43" s="1" t="s">
        <v>165</v>
      </c>
      <c r="O43" s="1"/>
      <c r="P43" s="1"/>
      <c r="BG43" t="s">
        <v>1996</v>
      </c>
      <c r="BH43" t="s">
        <v>1807</v>
      </c>
    </row>
    <row r="44" spans="1:60" x14ac:dyDescent="0.35">
      <c r="A44" s="1" t="s">
        <v>77</v>
      </c>
      <c r="B44" s="1" t="s">
        <v>79</v>
      </c>
      <c r="C44" s="1" t="s">
        <v>90</v>
      </c>
      <c r="D44" s="1" t="s">
        <v>91</v>
      </c>
      <c r="E44" s="1" t="s">
        <v>549</v>
      </c>
      <c r="F44" s="1" t="s">
        <v>454</v>
      </c>
      <c r="I44" s="1" t="s">
        <v>76</v>
      </c>
      <c r="J44" s="1" t="s">
        <v>80</v>
      </c>
      <c r="K44" s="1" t="s">
        <v>166</v>
      </c>
      <c r="L44" s="1" t="s">
        <v>167</v>
      </c>
      <c r="O44" s="1"/>
      <c r="P44" s="1"/>
      <c r="BG44" t="s">
        <v>1808</v>
      </c>
      <c r="BH44" t="s">
        <v>1809</v>
      </c>
    </row>
    <row r="45" spans="1:60" x14ac:dyDescent="0.35">
      <c r="A45" s="1" t="s">
        <v>77</v>
      </c>
      <c r="B45" s="1" t="s">
        <v>79</v>
      </c>
      <c r="C45" s="1" t="s">
        <v>90</v>
      </c>
      <c r="D45" s="1" t="s">
        <v>91</v>
      </c>
      <c r="E45" s="1" t="s">
        <v>582</v>
      </c>
      <c r="F45" s="1" t="s">
        <v>666</v>
      </c>
      <c r="I45" s="1" t="s">
        <v>76</v>
      </c>
      <c r="J45" s="1" t="s">
        <v>80</v>
      </c>
      <c r="K45" s="1" t="s">
        <v>168</v>
      </c>
      <c r="L45" s="1" t="s">
        <v>169</v>
      </c>
      <c r="O45" s="1"/>
      <c r="P45" s="1"/>
      <c r="AE45" s="53" t="s">
        <v>1753</v>
      </c>
      <c r="BG45" t="s">
        <v>1810</v>
      </c>
      <c r="BH45" t="s">
        <v>1811</v>
      </c>
    </row>
    <row r="46" spans="1:60" x14ac:dyDescent="0.35">
      <c r="A46" s="1" t="s">
        <v>77</v>
      </c>
      <c r="B46" s="1" t="s">
        <v>79</v>
      </c>
      <c r="C46" s="1" t="s">
        <v>90</v>
      </c>
      <c r="D46" s="1" t="s">
        <v>91</v>
      </c>
      <c r="E46" s="1" t="s">
        <v>586</v>
      </c>
      <c r="F46" s="1" t="s">
        <v>670</v>
      </c>
      <c r="I46" s="1" t="s">
        <v>76</v>
      </c>
      <c r="J46" s="1" t="s">
        <v>80</v>
      </c>
      <c r="K46" s="1" t="s">
        <v>170</v>
      </c>
      <c r="L46" s="1" t="s">
        <v>171</v>
      </c>
      <c r="O46" s="1"/>
      <c r="P46" s="1"/>
      <c r="AE46" t="s">
        <v>1756</v>
      </c>
      <c r="BG46" t="s">
        <v>1737</v>
      </c>
      <c r="BH46" t="s">
        <v>1812</v>
      </c>
    </row>
    <row r="47" spans="1:60" x14ac:dyDescent="0.35">
      <c r="A47" s="1" t="s">
        <v>77</v>
      </c>
      <c r="B47" s="1" t="s">
        <v>79</v>
      </c>
      <c r="C47" s="1" t="s">
        <v>90</v>
      </c>
      <c r="D47" s="1" t="s">
        <v>91</v>
      </c>
      <c r="E47" s="1" t="s">
        <v>636</v>
      </c>
      <c r="F47" s="1" t="s">
        <v>672</v>
      </c>
      <c r="I47" s="1" t="s">
        <v>76</v>
      </c>
      <c r="J47" s="1" t="s">
        <v>80</v>
      </c>
      <c r="K47" s="1" t="s">
        <v>172</v>
      </c>
      <c r="L47" s="1" t="s">
        <v>173</v>
      </c>
      <c r="O47" s="1"/>
      <c r="P47" s="1"/>
      <c r="AE47" t="s">
        <v>1750</v>
      </c>
      <c r="BG47" t="s">
        <v>1695</v>
      </c>
      <c r="BH47" t="s">
        <v>1695</v>
      </c>
    </row>
    <row r="48" spans="1:60" x14ac:dyDescent="0.35">
      <c r="A48" s="1" t="s">
        <v>77</v>
      </c>
      <c r="B48" s="1" t="s">
        <v>79</v>
      </c>
      <c r="C48" s="1" t="s">
        <v>90</v>
      </c>
      <c r="D48" s="1" t="s">
        <v>91</v>
      </c>
      <c r="E48" s="1" t="s">
        <v>677</v>
      </c>
      <c r="F48" s="1" t="s">
        <v>845</v>
      </c>
      <c r="I48" s="1" t="s">
        <v>76</v>
      </c>
      <c r="J48" s="1" t="s">
        <v>80</v>
      </c>
      <c r="K48" s="1" t="s">
        <v>174</v>
      </c>
      <c r="L48" s="1" t="s">
        <v>175</v>
      </c>
      <c r="O48" s="1"/>
      <c r="P48" s="1"/>
      <c r="AE48" t="s">
        <v>1755</v>
      </c>
      <c r="BG48" t="s">
        <v>1813</v>
      </c>
      <c r="BH48" t="s">
        <v>1814</v>
      </c>
    </row>
    <row r="49" spans="1:60" x14ac:dyDescent="0.35">
      <c r="A49" s="1" t="s">
        <v>77</v>
      </c>
      <c r="B49" s="1" t="s">
        <v>79</v>
      </c>
      <c r="C49" s="1" t="s">
        <v>90</v>
      </c>
      <c r="D49" s="1" t="s">
        <v>91</v>
      </c>
      <c r="E49" s="1" t="s">
        <v>679</v>
      </c>
      <c r="F49" s="1" t="s">
        <v>847</v>
      </c>
      <c r="I49" s="1" t="s">
        <v>76</v>
      </c>
      <c r="J49" s="1" t="s">
        <v>80</v>
      </c>
      <c r="K49" s="1" t="s">
        <v>176</v>
      </c>
      <c r="L49" s="1" t="s">
        <v>177</v>
      </c>
      <c r="O49" s="1"/>
      <c r="P49" s="1"/>
      <c r="AE49" t="s">
        <v>1754</v>
      </c>
      <c r="BG49" t="s">
        <v>1889</v>
      </c>
      <c r="BH49" t="s">
        <v>1890</v>
      </c>
    </row>
    <row r="50" spans="1:60" x14ac:dyDescent="0.35">
      <c r="A50" s="1" t="s">
        <v>77</v>
      </c>
      <c r="B50" s="1" t="s">
        <v>79</v>
      </c>
      <c r="C50" s="1" t="s">
        <v>90</v>
      </c>
      <c r="D50" s="1" t="s">
        <v>91</v>
      </c>
      <c r="E50" s="1" t="s">
        <v>750</v>
      </c>
      <c r="F50" s="1" t="s">
        <v>1190</v>
      </c>
      <c r="I50" s="1" t="s">
        <v>78</v>
      </c>
      <c r="J50" s="1" t="s">
        <v>81</v>
      </c>
      <c r="K50" s="1" t="s">
        <v>178</v>
      </c>
      <c r="L50" s="1" t="s">
        <v>179</v>
      </c>
      <c r="O50" s="1"/>
      <c r="P50" s="1"/>
      <c r="AE50" t="s">
        <v>1752</v>
      </c>
      <c r="BG50" t="s">
        <v>1999</v>
      </c>
      <c r="BH50" t="s">
        <v>2000</v>
      </c>
    </row>
    <row r="51" spans="1:60" x14ac:dyDescent="0.35">
      <c r="A51" s="1" t="s">
        <v>77</v>
      </c>
      <c r="B51" s="1" t="s">
        <v>79</v>
      </c>
      <c r="C51" s="1" t="s">
        <v>90</v>
      </c>
      <c r="D51" s="1" t="s">
        <v>91</v>
      </c>
      <c r="E51" s="1" t="s">
        <v>1419</v>
      </c>
      <c r="F51" s="1" t="s">
        <v>1416</v>
      </c>
      <c r="I51" s="1" t="s">
        <v>78</v>
      </c>
      <c r="J51" s="1" t="s">
        <v>81</v>
      </c>
      <c r="K51" s="1" t="s">
        <v>180</v>
      </c>
      <c r="L51" s="1" t="s">
        <v>181</v>
      </c>
      <c r="O51" s="1"/>
      <c r="P51" s="1"/>
      <c r="AE51" t="s">
        <v>1751</v>
      </c>
      <c r="BG51" t="s">
        <v>1815</v>
      </c>
      <c r="BH51" t="s">
        <v>1816</v>
      </c>
    </row>
    <row r="52" spans="1:60" x14ac:dyDescent="0.35">
      <c r="A52" s="1" t="s">
        <v>77</v>
      </c>
      <c r="B52" s="1" t="s">
        <v>79</v>
      </c>
      <c r="C52" s="1" t="s">
        <v>90</v>
      </c>
      <c r="D52" s="1" t="s">
        <v>91</v>
      </c>
      <c r="E52" s="1" t="s">
        <v>1533</v>
      </c>
      <c r="F52" s="1" t="s">
        <v>1520</v>
      </c>
      <c r="I52" s="1" t="s">
        <v>78</v>
      </c>
      <c r="J52" s="1" t="s">
        <v>81</v>
      </c>
      <c r="K52" s="1" t="s">
        <v>182</v>
      </c>
      <c r="L52" s="1" t="s">
        <v>183</v>
      </c>
      <c r="O52" s="1"/>
      <c r="P52" s="1"/>
      <c r="BG52" t="s">
        <v>1951</v>
      </c>
      <c r="BH52" t="s">
        <v>1952</v>
      </c>
    </row>
    <row r="53" spans="1:60" x14ac:dyDescent="0.35">
      <c r="A53" s="1" t="s">
        <v>77</v>
      </c>
      <c r="B53" s="1" t="s">
        <v>79</v>
      </c>
      <c r="C53" s="1" t="s">
        <v>92</v>
      </c>
      <c r="D53" s="1" t="s">
        <v>93</v>
      </c>
      <c r="E53" s="1" t="s">
        <v>294</v>
      </c>
      <c r="F53" s="1" t="s">
        <v>295</v>
      </c>
      <c r="I53" s="1" t="s">
        <v>78</v>
      </c>
      <c r="J53" s="1" t="s">
        <v>81</v>
      </c>
      <c r="K53" s="1" t="s">
        <v>184</v>
      </c>
      <c r="L53" s="1" t="s">
        <v>185</v>
      </c>
      <c r="O53" s="1"/>
      <c r="P53" s="1"/>
      <c r="BG53" t="s">
        <v>1989</v>
      </c>
      <c r="BH53" t="s">
        <v>1990</v>
      </c>
    </row>
    <row r="54" spans="1:60" x14ac:dyDescent="0.35">
      <c r="A54" s="1" t="s">
        <v>77</v>
      </c>
      <c r="B54" s="1" t="s">
        <v>79</v>
      </c>
      <c r="C54" s="1" t="s">
        <v>92</v>
      </c>
      <c r="D54" s="1" t="s">
        <v>93</v>
      </c>
      <c r="E54" s="1" t="s">
        <v>339</v>
      </c>
      <c r="F54" s="1" t="s">
        <v>340</v>
      </c>
      <c r="I54" s="1" t="s">
        <v>78</v>
      </c>
      <c r="J54" s="1" t="s">
        <v>81</v>
      </c>
      <c r="K54" s="1" t="s">
        <v>186</v>
      </c>
      <c r="L54" s="1" t="s">
        <v>187</v>
      </c>
      <c r="O54" s="1"/>
      <c r="P54" s="1"/>
      <c r="BG54" t="s">
        <v>1817</v>
      </c>
      <c r="BH54" t="s">
        <v>1818</v>
      </c>
    </row>
    <row r="55" spans="1:60" x14ac:dyDescent="0.35">
      <c r="A55" s="1" t="s">
        <v>77</v>
      </c>
      <c r="B55" s="1" t="s">
        <v>79</v>
      </c>
      <c r="C55" s="1" t="s">
        <v>92</v>
      </c>
      <c r="D55" s="1" t="s">
        <v>93</v>
      </c>
      <c r="E55" s="1" t="s">
        <v>343</v>
      </c>
      <c r="F55" s="1" t="s">
        <v>344</v>
      </c>
      <c r="I55" s="1" t="s">
        <v>78</v>
      </c>
      <c r="J55" s="1" t="s">
        <v>81</v>
      </c>
      <c r="K55" s="1" t="s">
        <v>188</v>
      </c>
      <c r="L55" s="1" t="s">
        <v>189</v>
      </c>
      <c r="O55" s="1"/>
      <c r="P55" s="1"/>
      <c r="BG55" t="s">
        <v>1819</v>
      </c>
      <c r="BH55" t="s">
        <v>1820</v>
      </c>
    </row>
    <row r="56" spans="1:60" x14ac:dyDescent="0.35">
      <c r="A56" s="1" t="s">
        <v>77</v>
      </c>
      <c r="B56" s="1" t="s">
        <v>79</v>
      </c>
      <c r="C56" s="1" t="s">
        <v>92</v>
      </c>
      <c r="D56" s="1" t="s">
        <v>93</v>
      </c>
      <c r="E56" s="1" t="s">
        <v>415</v>
      </c>
      <c r="F56" s="1" t="s">
        <v>416</v>
      </c>
      <c r="I56" s="1" t="s">
        <v>78</v>
      </c>
      <c r="J56" s="1" t="s">
        <v>81</v>
      </c>
      <c r="K56" s="1" t="s">
        <v>190</v>
      </c>
      <c r="L56" s="1" t="s">
        <v>191</v>
      </c>
      <c r="O56" s="1"/>
      <c r="P56" s="1"/>
      <c r="BG56" t="s">
        <v>1710</v>
      </c>
      <c r="BH56" t="s">
        <v>1821</v>
      </c>
    </row>
    <row r="57" spans="1:60" x14ac:dyDescent="0.35">
      <c r="A57" s="1" t="s">
        <v>77</v>
      </c>
      <c r="B57" s="1" t="s">
        <v>79</v>
      </c>
      <c r="C57" s="1" t="s">
        <v>92</v>
      </c>
      <c r="D57" s="1" t="s">
        <v>93</v>
      </c>
      <c r="E57" s="1" t="s">
        <v>535</v>
      </c>
      <c r="F57" s="1" t="s">
        <v>536</v>
      </c>
      <c r="I57" s="1" t="s">
        <v>78</v>
      </c>
      <c r="J57" s="1" t="s">
        <v>81</v>
      </c>
      <c r="K57" s="1" t="s">
        <v>192</v>
      </c>
      <c r="L57" s="1" t="s">
        <v>193</v>
      </c>
      <c r="O57" s="1"/>
      <c r="P57" s="1"/>
      <c r="BG57" t="s">
        <v>1953</v>
      </c>
      <c r="BH57" t="s">
        <v>1954</v>
      </c>
    </row>
    <row r="58" spans="1:60" x14ac:dyDescent="0.35">
      <c r="A58" s="1" t="s">
        <v>77</v>
      </c>
      <c r="B58" s="1" t="s">
        <v>79</v>
      </c>
      <c r="C58" s="1" t="s">
        <v>92</v>
      </c>
      <c r="D58" s="1" t="s">
        <v>93</v>
      </c>
      <c r="E58" s="1" t="s">
        <v>539</v>
      </c>
      <c r="F58" s="1" t="s">
        <v>540</v>
      </c>
      <c r="I58" s="1" t="s">
        <v>78</v>
      </c>
      <c r="J58" s="1" t="s">
        <v>81</v>
      </c>
      <c r="K58" s="1" t="s">
        <v>194</v>
      </c>
      <c r="L58" s="1" t="s">
        <v>195</v>
      </c>
      <c r="O58" s="1"/>
      <c r="P58" s="1"/>
      <c r="BG58" s="35" t="s">
        <v>1822</v>
      </c>
      <c r="BH58" s="35" t="s">
        <v>1823</v>
      </c>
    </row>
    <row r="59" spans="1:60" x14ac:dyDescent="0.35">
      <c r="A59" s="1" t="s">
        <v>77</v>
      </c>
      <c r="B59" s="1" t="s">
        <v>79</v>
      </c>
      <c r="C59" s="1" t="s">
        <v>92</v>
      </c>
      <c r="D59" s="1" t="s">
        <v>93</v>
      </c>
      <c r="E59" s="1" t="s">
        <v>92</v>
      </c>
      <c r="F59" s="1" t="s">
        <v>752</v>
      </c>
      <c r="I59" s="1" t="s">
        <v>78</v>
      </c>
      <c r="J59" s="1" t="s">
        <v>81</v>
      </c>
      <c r="K59" s="1" t="s">
        <v>196</v>
      </c>
      <c r="L59" s="1" t="s">
        <v>197</v>
      </c>
      <c r="O59" s="1"/>
      <c r="P59" s="1"/>
      <c r="BG59" t="s">
        <v>1824</v>
      </c>
      <c r="BH59" t="s">
        <v>1825</v>
      </c>
    </row>
    <row r="60" spans="1:60" x14ac:dyDescent="0.35">
      <c r="A60" s="1" t="s">
        <v>77</v>
      </c>
      <c r="B60" s="1" t="s">
        <v>79</v>
      </c>
      <c r="C60" s="1" t="s">
        <v>92</v>
      </c>
      <c r="D60" s="1" t="s">
        <v>93</v>
      </c>
      <c r="E60" s="1" t="s">
        <v>948</v>
      </c>
      <c r="F60" s="1" t="s">
        <v>949</v>
      </c>
      <c r="I60" s="1" t="s">
        <v>78</v>
      </c>
      <c r="J60" s="1" t="s">
        <v>81</v>
      </c>
      <c r="K60" s="1" t="s">
        <v>198</v>
      </c>
      <c r="L60" s="1" t="s">
        <v>199</v>
      </c>
      <c r="O60" s="1"/>
      <c r="P60" s="1"/>
      <c r="BG60" t="s">
        <v>1973</v>
      </c>
      <c r="BH60" t="s">
        <v>1974</v>
      </c>
    </row>
    <row r="61" spans="1:60" x14ac:dyDescent="0.35">
      <c r="A61" s="1" t="s">
        <v>77</v>
      </c>
      <c r="B61" s="1" t="s">
        <v>79</v>
      </c>
      <c r="C61" s="1" t="s">
        <v>92</v>
      </c>
      <c r="D61" s="1" t="s">
        <v>93</v>
      </c>
      <c r="E61" s="1" t="s">
        <v>1060</v>
      </c>
      <c r="F61" s="1" t="s">
        <v>1061</v>
      </c>
      <c r="I61" s="1" t="s">
        <v>78</v>
      </c>
      <c r="J61" s="1" t="s">
        <v>81</v>
      </c>
      <c r="K61" s="1" t="s">
        <v>200</v>
      </c>
      <c r="L61" s="1" t="s">
        <v>201</v>
      </c>
      <c r="O61" s="1"/>
      <c r="P61" s="1"/>
      <c r="BG61" t="s">
        <v>1826</v>
      </c>
      <c r="BH61" t="s">
        <v>1827</v>
      </c>
    </row>
    <row r="62" spans="1:60" x14ac:dyDescent="0.35">
      <c r="A62" s="1" t="s">
        <v>77</v>
      </c>
      <c r="B62" s="1" t="s">
        <v>79</v>
      </c>
      <c r="C62" s="1" t="s">
        <v>92</v>
      </c>
      <c r="D62" s="1" t="s">
        <v>93</v>
      </c>
      <c r="E62" s="1" t="s">
        <v>1323</v>
      </c>
      <c r="F62" s="1" t="s">
        <v>1324</v>
      </c>
      <c r="I62" s="1" t="s">
        <v>78</v>
      </c>
      <c r="J62" s="1" t="s">
        <v>81</v>
      </c>
      <c r="K62" s="1" t="s">
        <v>202</v>
      </c>
      <c r="L62" s="1" t="s">
        <v>203</v>
      </c>
      <c r="O62" s="1"/>
      <c r="P62" s="1"/>
      <c r="BG62" t="s">
        <v>1828</v>
      </c>
      <c r="BH62" t="s">
        <v>1829</v>
      </c>
    </row>
    <row r="63" spans="1:60" x14ac:dyDescent="0.35">
      <c r="A63" s="1" t="s">
        <v>77</v>
      </c>
      <c r="B63" s="1" t="s">
        <v>79</v>
      </c>
      <c r="C63" s="1" t="s">
        <v>94</v>
      </c>
      <c r="D63" s="1" t="s">
        <v>95</v>
      </c>
      <c r="E63" s="1" t="s">
        <v>292</v>
      </c>
      <c r="F63" s="1" t="s">
        <v>293</v>
      </c>
      <c r="I63" s="1" t="s">
        <v>78</v>
      </c>
      <c r="J63" s="1" t="s">
        <v>81</v>
      </c>
      <c r="K63" s="1" t="s">
        <v>204</v>
      </c>
      <c r="L63" s="1" t="s">
        <v>205</v>
      </c>
      <c r="O63" s="1"/>
      <c r="P63" s="1"/>
      <c r="BG63" t="s">
        <v>1830</v>
      </c>
      <c r="BH63" t="s">
        <v>1831</v>
      </c>
    </row>
    <row r="64" spans="1:60" x14ac:dyDescent="0.35">
      <c r="A64" s="1" t="s">
        <v>77</v>
      </c>
      <c r="B64" s="1" t="s">
        <v>79</v>
      </c>
      <c r="C64" s="1" t="s">
        <v>94</v>
      </c>
      <c r="D64" s="1" t="s">
        <v>95</v>
      </c>
      <c r="E64" s="1" t="s">
        <v>433</v>
      </c>
      <c r="F64" s="1" t="s">
        <v>434</v>
      </c>
      <c r="I64" s="1" t="s">
        <v>78</v>
      </c>
      <c r="J64" s="1" t="s">
        <v>81</v>
      </c>
      <c r="K64" s="1" t="s">
        <v>206</v>
      </c>
      <c r="L64" s="1" t="s">
        <v>207</v>
      </c>
      <c r="O64" s="1"/>
      <c r="P64" s="1"/>
      <c r="BG64" t="s">
        <v>1738</v>
      </c>
      <c r="BH64" t="s">
        <v>1832</v>
      </c>
    </row>
    <row r="65" spans="1:60" x14ac:dyDescent="0.35">
      <c r="A65" s="1" t="s">
        <v>77</v>
      </c>
      <c r="B65" s="1" t="s">
        <v>79</v>
      </c>
      <c r="C65" s="1" t="s">
        <v>94</v>
      </c>
      <c r="D65" s="1" t="s">
        <v>95</v>
      </c>
      <c r="E65" s="1" t="s">
        <v>630</v>
      </c>
      <c r="F65" s="1" t="s">
        <v>631</v>
      </c>
      <c r="I65" s="1" t="s">
        <v>78</v>
      </c>
      <c r="J65" s="1" t="s">
        <v>81</v>
      </c>
      <c r="K65" s="1" t="s">
        <v>208</v>
      </c>
      <c r="L65" s="1" t="s">
        <v>209</v>
      </c>
      <c r="O65" s="1"/>
      <c r="P65" s="1"/>
      <c r="BG65" t="s">
        <v>1833</v>
      </c>
      <c r="BH65" t="s">
        <v>1834</v>
      </c>
    </row>
    <row r="66" spans="1:60" x14ac:dyDescent="0.35">
      <c r="A66" s="1" t="s">
        <v>77</v>
      </c>
      <c r="B66" s="1" t="s">
        <v>79</v>
      </c>
      <c r="C66" s="1" t="s">
        <v>94</v>
      </c>
      <c r="D66" s="1" t="s">
        <v>95</v>
      </c>
      <c r="E66" s="1" t="s">
        <v>657</v>
      </c>
      <c r="F66" s="1" t="s">
        <v>658</v>
      </c>
      <c r="I66" s="1" t="s">
        <v>78</v>
      </c>
      <c r="J66" s="1" t="s">
        <v>81</v>
      </c>
      <c r="K66" s="1" t="s">
        <v>210</v>
      </c>
      <c r="L66" s="1" t="s">
        <v>211</v>
      </c>
      <c r="O66" s="1"/>
      <c r="P66" s="1"/>
      <c r="BG66" t="s">
        <v>1955</v>
      </c>
      <c r="BH66" t="s">
        <v>1956</v>
      </c>
    </row>
    <row r="67" spans="1:60" x14ac:dyDescent="0.35">
      <c r="A67" s="1" t="s">
        <v>77</v>
      </c>
      <c r="B67" s="1" t="s">
        <v>79</v>
      </c>
      <c r="C67" s="1" t="s">
        <v>94</v>
      </c>
      <c r="D67" s="1" t="s">
        <v>95</v>
      </c>
      <c r="E67" s="1" t="s">
        <v>794</v>
      </c>
      <c r="F67" s="1" t="s">
        <v>795</v>
      </c>
      <c r="I67" s="1"/>
      <c r="J67" s="1"/>
      <c r="K67" s="1"/>
      <c r="L67" s="1"/>
      <c r="O67" s="1"/>
      <c r="P67" s="1"/>
      <c r="BG67" t="s">
        <v>1975</v>
      </c>
      <c r="BH67" t="s">
        <v>1976</v>
      </c>
    </row>
    <row r="68" spans="1:60" x14ac:dyDescent="0.35">
      <c r="A68" s="1" t="s">
        <v>77</v>
      </c>
      <c r="B68" s="1" t="s">
        <v>79</v>
      </c>
      <c r="C68" s="1" t="s">
        <v>94</v>
      </c>
      <c r="D68" s="1" t="s">
        <v>95</v>
      </c>
      <c r="E68" s="1" t="s">
        <v>94</v>
      </c>
      <c r="F68" s="1" t="s">
        <v>798</v>
      </c>
      <c r="I68" s="1"/>
      <c r="J68" s="1"/>
      <c r="K68" s="1"/>
      <c r="L68" s="1"/>
      <c r="O68" s="1"/>
      <c r="P68" s="1"/>
      <c r="BG68" t="s">
        <v>1835</v>
      </c>
      <c r="BH68" t="s">
        <v>1836</v>
      </c>
    </row>
    <row r="69" spans="1:60" x14ac:dyDescent="0.35">
      <c r="A69" s="1" t="s">
        <v>77</v>
      </c>
      <c r="B69" s="1" t="s">
        <v>79</v>
      </c>
      <c r="C69" s="1" t="s">
        <v>94</v>
      </c>
      <c r="D69" s="1" t="s">
        <v>95</v>
      </c>
      <c r="E69" s="1" t="s">
        <v>799</v>
      </c>
      <c r="F69" s="1" t="s">
        <v>800</v>
      </c>
      <c r="I69" s="1"/>
      <c r="J69" s="1"/>
      <c r="K69" s="1"/>
      <c r="L69" s="1"/>
      <c r="O69" s="1"/>
      <c r="P69" s="1"/>
      <c r="BG69" t="s">
        <v>1977</v>
      </c>
      <c r="BH69" t="s">
        <v>1978</v>
      </c>
    </row>
    <row r="70" spans="1:60" x14ac:dyDescent="0.35">
      <c r="A70" s="1" t="s">
        <v>77</v>
      </c>
      <c r="B70" s="1" t="s">
        <v>79</v>
      </c>
      <c r="C70" s="1" t="s">
        <v>94</v>
      </c>
      <c r="D70" s="1" t="s">
        <v>95</v>
      </c>
      <c r="E70" s="1" t="s">
        <v>1015</v>
      </c>
      <c r="F70" s="1" t="s">
        <v>1016</v>
      </c>
      <c r="I70" s="1"/>
      <c r="J70" s="1"/>
      <c r="K70" s="1"/>
      <c r="L70" s="1"/>
      <c r="O70" s="1"/>
      <c r="P70" s="1"/>
      <c r="BG70" t="s">
        <v>1957</v>
      </c>
      <c r="BH70" t="s">
        <v>1958</v>
      </c>
    </row>
    <row r="71" spans="1:60" x14ac:dyDescent="0.35">
      <c r="A71" s="1" t="s">
        <v>77</v>
      </c>
      <c r="B71" s="1" t="s">
        <v>79</v>
      </c>
      <c r="C71" s="1" t="s">
        <v>94</v>
      </c>
      <c r="D71" s="1" t="s">
        <v>95</v>
      </c>
      <c r="E71" s="1" t="s">
        <v>1155</v>
      </c>
      <c r="F71" s="1" t="s">
        <v>1156</v>
      </c>
      <c r="I71" s="1"/>
      <c r="J71" s="1"/>
      <c r="K71" s="1"/>
      <c r="L71" s="1"/>
      <c r="O71" s="1"/>
      <c r="P71" s="1"/>
      <c r="BG71" t="s">
        <v>1959</v>
      </c>
      <c r="BH71" t="s">
        <v>1960</v>
      </c>
    </row>
    <row r="72" spans="1:60" x14ac:dyDescent="0.35">
      <c r="A72" s="1" t="s">
        <v>77</v>
      </c>
      <c r="B72" s="1" t="s">
        <v>79</v>
      </c>
      <c r="C72" s="1" t="s">
        <v>94</v>
      </c>
      <c r="D72" s="1" t="s">
        <v>95</v>
      </c>
      <c r="E72" s="1" t="s">
        <v>1356</v>
      </c>
      <c r="F72" s="1" t="s">
        <v>1357</v>
      </c>
      <c r="I72" s="1"/>
      <c r="J72" s="1"/>
      <c r="K72" s="1"/>
      <c r="L72" s="1"/>
      <c r="O72" s="1"/>
      <c r="P72" s="1"/>
      <c r="BG72" t="s">
        <v>1739</v>
      </c>
      <c r="BH72" t="s">
        <v>1837</v>
      </c>
    </row>
    <row r="73" spans="1:60" x14ac:dyDescent="0.35">
      <c r="A73" s="1" t="s">
        <v>77</v>
      </c>
      <c r="B73" s="1" t="s">
        <v>79</v>
      </c>
      <c r="C73" s="1" t="s">
        <v>94</v>
      </c>
      <c r="D73" s="1" t="s">
        <v>95</v>
      </c>
      <c r="E73" s="1" t="s">
        <v>1425</v>
      </c>
      <c r="F73" s="1" t="s">
        <v>1426</v>
      </c>
      <c r="I73" s="1"/>
      <c r="J73" s="1"/>
      <c r="K73" s="1"/>
      <c r="L73" s="1"/>
      <c r="O73" s="1"/>
      <c r="P73" s="1"/>
      <c r="BG73" t="s">
        <v>1961</v>
      </c>
      <c r="BH73" t="s">
        <v>1962</v>
      </c>
    </row>
    <row r="74" spans="1:60" x14ac:dyDescent="0.35">
      <c r="A74" s="1" t="s">
        <v>77</v>
      </c>
      <c r="B74" s="1" t="s">
        <v>79</v>
      </c>
      <c r="C74" s="1" t="s">
        <v>94</v>
      </c>
      <c r="D74" s="1" t="s">
        <v>95</v>
      </c>
      <c r="E74" s="1" t="s">
        <v>1458</v>
      </c>
      <c r="F74" s="1" t="s">
        <v>1459</v>
      </c>
      <c r="I74" s="1"/>
      <c r="J74" s="1"/>
      <c r="K74" s="1"/>
      <c r="L74" s="1"/>
      <c r="O74" s="1"/>
      <c r="P74" s="1"/>
      <c r="BG74" t="s">
        <v>1838</v>
      </c>
      <c r="BH74" t="s">
        <v>1839</v>
      </c>
    </row>
    <row r="75" spans="1:60" x14ac:dyDescent="0.35">
      <c r="A75" s="1" t="s">
        <v>77</v>
      </c>
      <c r="B75" s="1" t="s">
        <v>79</v>
      </c>
      <c r="C75" s="1" t="s">
        <v>96</v>
      </c>
      <c r="D75" s="1" t="s">
        <v>97</v>
      </c>
      <c r="E75" s="1" t="s">
        <v>461</v>
      </c>
      <c r="F75" s="1" t="s">
        <v>462</v>
      </c>
      <c r="I75" s="1"/>
      <c r="J75" s="1"/>
      <c r="K75" s="1"/>
      <c r="L75" s="1"/>
      <c r="O75" s="1"/>
      <c r="P75" s="1"/>
      <c r="BG75" t="s">
        <v>1840</v>
      </c>
      <c r="BH75" t="s">
        <v>1841</v>
      </c>
    </row>
    <row r="76" spans="1:60" x14ac:dyDescent="0.35">
      <c r="A76" s="1" t="s">
        <v>77</v>
      </c>
      <c r="B76" s="1" t="s">
        <v>79</v>
      </c>
      <c r="C76" s="1" t="s">
        <v>96</v>
      </c>
      <c r="D76" s="1" t="s">
        <v>97</v>
      </c>
      <c r="E76" s="1" t="s">
        <v>813</v>
      </c>
      <c r="F76" s="1" t="s">
        <v>814</v>
      </c>
      <c r="I76" s="1"/>
      <c r="J76" s="1"/>
      <c r="K76" s="1"/>
      <c r="L76" s="1"/>
      <c r="O76" s="1"/>
      <c r="P76" s="1"/>
      <c r="BG76" t="s">
        <v>1696</v>
      </c>
      <c r="BH76" t="s">
        <v>1610</v>
      </c>
    </row>
    <row r="77" spans="1:60" x14ac:dyDescent="0.35">
      <c r="A77" s="1" t="s">
        <v>77</v>
      </c>
      <c r="B77" s="1" t="s">
        <v>79</v>
      </c>
      <c r="C77" s="1" t="s">
        <v>96</v>
      </c>
      <c r="D77" s="1" t="s">
        <v>97</v>
      </c>
      <c r="E77" s="1" t="s">
        <v>815</v>
      </c>
      <c r="F77" s="1" t="s">
        <v>816</v>
      </c>
      <c r="I77" s="1"/>
      <c r="J77" s="1"/>
      <c r="K77" s="1"/>
      <c r="L77" s="1"/>
      <c r="O77" s="1"/>
      <c r="P77" s="1"/>
      <c r="BG77" s="36" t="s">
        <v>1697</v>
      </c>
      <c r="BH77" s="36" t="s">
        <v>1697</v>
      </c>
    </row>
    <row r="78" spans="1:60" x14ac:dyDescent="0.35">
      <c r="A78" s="1" t="s">
        <v>77</v>
      </c>
      <c r="B78" s="1" t="s">
        <v>79</v>
      </c>
      <c r="C78" s="1" t="s">
        <v>96</v>
      </c>
      <c r="D78" s="1" t="s">
        <v>97</v>
      </c>
      <c r="E78" s="1" t="s">
        <v>954</v>
      </c>
      <c r="F78" s="1" t="s">
        <v>955</v>
      </c>
      <c r="I78" s="1"/>
      <c r="J78" s="1"/>
      <c r="K78" s="1"/>
      <c r="L78" s="1"/>
      <c r="O78" s="1"/>
      <c r="P78" s="1"/>
      <c r="BG78" t="s">
        <v>1747</v>
      </c>
      <c r="BH78" t="s">
        <v>1842</v>
      </c>
    </row>
    <row r="79" spans="1:60" x14ac:dyDescent="0.35">
      <c r="A79" s="1" t="s">
        <v>77</v>
      </c>
      <c r="B79" s="1" t="s">
        <v>79</v>
      </c>
      <c r="C79" s="1" t="s">
        <v>96</v>
      </c>
      <c r="D79" s="1" t="s">
        <v>97</v>
      </c>
      <c r="E79" s="1" t="s">
        <v>956</v>
      </c>
      <c r="F79" s="1" t="s">
        <v>957</v>
      </c>
      <c r="I79" s="1"/>
      <c r="J79" s="1"/>
      <c r="K79" s="1"/>
      <c r="L79" s="1"/>
      <c r="O79" s="1"/>
      <c r="P79" s="1"/>
      <c r="BG79" t="s">
        <v>1843</v>
      </c>
      <c r="BH79" t="s">
        <v>1844</v>
      </c>
    </row>
    <row r="80" spans="1:60" x14ac:dyDescent="0.35">
      <c r="A80" s="1" t="s">
        <v>77</v>
      </c>
      <c r="B80" s="1" t="s">
        <v>79</v>
      </c>
      <c r="C80" s="1" t="s">
        <v>96</v>
      </c>
      <c r="D80" s="1" t="s">
        <v>97</v>
      </c>
      <c r="E80" s="1" t="s">
        <v>1046</v>
      </c>
      <c r="F80" s="1" t="s">
        <v>1047</v>
      </c>
      <c r="I80" s="1"/>
      <c r="J80" s="1"/>
      <c r="K80" s="1"/>
      <c r="L80" s="1"/>
      <c r="O80" s="1"/>
      <c r="P80" s="1"/>
      <c r="BG80" t="s">
        <v>1740</v>
      </c>
      <c r="BH80" t="s">
        <v>1845</v>
      </c>
    </row>
    <row r="81" spans="1:60" x14ac:dyDescent="0.35">
      <c r="A81" s="1" t="s">
        <v>77</v>
      </c>
      <c r="B81" s="1" t="s">
        <v>79</v>
      </c>
      <c r="C81" s="1" t="s">
        <v>96</v>
      </c>
      <c r="D81" s="1" t="s">
        <v>97</v>
      </c>
      <c r="E81" s="1" t="s">
        <v>1126</v>
      </c>
      <c r="F81" s="1" t="s">
        <v>1127</v>
      </c>
      <c r="I81" s="1"/>
      <c r="J81" s="1"/>
      <c r="K81" s="1"/>
      <c r="L81" s="1"/>
      <c r="O81" s="1"/>
      <c r="P81" s="1"/>
      <c r="BG81" t="s">
        <v>1846</v>
      </c>
      <c r="BH81" t="s">
        <v>1847</v>
      </c>
    </row>
    <row r="82" spans="1:60" x14ac:dyDescent="0.35">
      <c r="A82" s="1" t="s">
        <v>77</v>
      </c>
      <c r="B82" s="1" t="s">
        <v>79</v>
      </c>
      <c r="C82" s="1" t="s">
        <v>96</v>
      </c>
      <c r="D82" s="1" t="s">
        <v>97</v>
      </c>
      <c r="E82" s="1" t="s">
        <v>1153</v>
      </c>
      <c r="F82" s="1" t="s">
        <v>1154</v>
      </c>
      <c r="I82" s="1"/>
      <c r="J82" s="1"/>
      <c r="K82" s="1"/>
      <c r="L82" s="1"/>
      <c r="O82" s="1"/>
      <c r="P82" s="1"/>
      <c r="BG82" t="s">
        <v>1997</v>
      </c>
      <c r="BH82" t="s">
        <v>1848</v>
      </c>
    </row>
    <row r="83" spans="1:60" x14ac:dyDescent="0.35">
      <c r="A83" s="1" t="s">
        <v>77</v>
      </c>
      <c r="B83" s="1" t="s">
        <v>79</v>
      </c>
      <c r="C83" s="1" t="s">
        <v>96</v>
      </c>
      <c r="D83" s="1" t="s">
        <v>97</v>
      </c>
      <c r="E83" s="1" t="s">
        <v>1173</v>
      </c>
      <c r="F83" s="1" t="s">
        <v>1174</v>
      </c>
      <c r="I83" s="1"/>
      <c r="J83" s="1"/>
      <c r="K83" s="1"/>
      <c r="L83" s="1"/>
      <c r="O83" s="1"/>
      <c r="P83" s="1"/>
      <c r="BG83" t="s">
        <v>1849</v>
      </c>
      <c r="BH83" t="s">
        <v>1850</v>
      </c>
    </row>
    <row r="84" spans="1:60" x14ac:dyDescent="0.35">
      <c r="A84" s="1" t="s">
        <v>77</v>
      </c>
      <c r="B84" s="1" t="s">
        <v>79</v>
      </c>
      <c r="C84" s="1" t="s">
        <v>96</v>
      </c>
      <c r="D84" s="1" t="s">
        <v>97</v>
      </c>
      <c r="E84" s="1" t="s">
        <v>1299</v>
      </c>
      <c r="F84" s="1" t="s">
        <v>1300</v>
      </c>
      <c r="I84" s="1"/>
      <c r="J84" s="1"/>
      <c r="K84" s="1"/>
      <c r="L84" s="1"/>
      <c r="O84" s="1"/>
      <c r="P84" s="1"/>
      <c r="BG84" t="s">
        <v>1851</v>
      </c>
      <c r="BH84" t="s">
        <v>1852</v>
      </c>
    </row>
    <row r="85" spans="1:60" x14ac:dyDescent="0.35">
      <c r="A85" s="1" t="s">
        <v>77</v>
      </c>
      <c r="B85" s="1" t="s">
        <v>79</v>
      </c>
      <c r="C85" s="1" t="s">
        <v>96</v>
      </c>
      <c r="D85" s="1" t="s">
        <v>97</v>
      </c>
      <c r="E85" s="1" t="s">
        <v>1545</v>
      </c>
      <c r="F85" s="1" t="s">
        <v>1546</v>
      </c>
      <c r="I85" s="1"/>
      <c r="J85" s="1"/>
      <c r="K85" s="1"/>
      <c r="L85" s="1"/>
      <c r="O85" s="1"/>
      <c r="P85" s="1"/>
      <c r="BG85" t="s">
        <v>1853</v>
      </c>
      <c r="BH85" t="s">
        <v>1854</v>
      </c>
    </row>
    <row r="86" spans="1:60" x14ac:dyDescent="0.35">
      <c r="A86" s="1" t="s">
        <v>77</v>
      </c>
      <c r="B86" s="1" t="s">
        <v>79</v>
      </c>
      <c r="C86" s="1" t="s">
        <v>98</v>
      </c>
      <c r="D86" s="1" t="s">
        <v>99</v>
      </c>
      <c r="E86" s="1" t="s">
        <v>525</v>
      </c>
      <c r="F86" s="1" t="s">
        <v>526</v>
      </c>
      <c r="I86" s="1"/>
      <c r="J86" s="1"/>
      <c r="K86" s="1"/>
      <c r="L86" s="1"/>
      <c r="O86" s="1"/>
      <c r="P86" s="1"/>
      <c r="BG86" t="s">
        <v>1855</v>
      </c>
      <c r="BH86" t="s">
        <v>1856</v>
      </c>
    </row>
    <row r="87" spans="1:60" x14ac:dyDescent="0.35">
      <c r="A87" s="1" t="s">
        <v>77</v>
      </c>
      <c r="B87" s="1" t="s">
        <v>79</v>
      </c>
      <c r="C87" s="1" t="s">
        <v>98</v>
      </c>
      <c r="D87" s="1" t="s">
        <v>99</v>
      </c>
      <c r="E87" s="1" t="s">
        <v>779</v>
      </c>
      <c r="F87" s="1" t="s">
        <v>780</v>
      </c>
      <c r="I87" s="1"/>
      <c r="J87" s="1"/>
      <c r="K87" s="1"/>
      <c r="L87" s="1"/>
      <c r="O87" s="1"/>
      <c r="P87" s="1"/>
      <c r="BG87" t="s">
        <v>1698</v>
      </c>
      <c r="BH87" t="s">
        <v>1857</v>
      </c>
    </row>
    <row r="88" spans="1:60" x14ac:dyDescent="0.35">
      <c r="A88" s="1" t="s">
        <v>77</v>
      </c>
      <c r="B88" s="1" t="s">
        <v>79</v>
      </c>
      <c r="C88" s="1" t="s">
        <v>98</v>
      </c>
      <c r="D88" s="1" t="s">
        <v>99</v>
      </c>
      <c r="E88" s="1" t="s">
        <v>1020</v>
      </c>
      <c r="F88" s="1" t="s">
        <v>1021</v>
      </c>
      <c r="I88" s="1"/>
      <c r="J88" s="1"/>
      <c r="K88" s="1"/>
      <c r="L88" s="1"/>
      <c r="O88" s="1"/>
      <c r="P88" s="1"/>
      <c r="BG88" t="s">
        <v>1702</v>
      </c>
      <c r="BH88" t="s">
        <v>1858</v>
      </c>
    </row>
    <row r="89" spans="1:60" x14ac:dyDescent="0.35">
      <c r="A89" s="1" t="s">
        <v>77</v>
      </c>
      <c r="B89" s="1" t="s">
        <v>79</v>
      </c>
      <c r="C89" s="1" t="s">
        <v>98</v>
      </c>
      <c r="D89" s="1" t="s">
        <v>99</v>
      </c>
      <c r="E89" s="1" t="s">
        <v>98</v>
      </c>
      <c r="F89" s="1" t="s">
        <v>1030</v>
      </c>
      <c r="I89" s="1"/>
      <c r="J89" s="1"/>
      <c r="K89" s="1"/>
      <c r="L89" s="1"/>
      <c r="O89" s="1"/>
      <c r="P89" s="1"/>
      <c r="BG89" t="s">
        <v>1859</v>
      </c>
      <c r="BH89" t="s">
        <v>1860</v>
      </c>
    </row>
    <row r="90" spans="1:60" x14ac:dyDescent="0.35">
      <c r="A90" s="1" t="s">
        <v>77</v>
      </c>
      <c r="B90" s="1" t="s">
        <v>79</v>
      </c>
      <c r="C90" s="1" t="s">
        <v>98</v>
      </c>
      <c r="D90" s="1" t="s">
        <v>99</v>
      </c>
      <c r="E90" s="1" t="s">
        <v>1253</v>
      </c>
      <c r="F90" s="1" t="s">
        <v>1254</v>
      </c>
      <c r="I90" s="1"/>
      <c r="J90" s="1"/>
      <c r="K90" s="1"/>
      <c r="L90" s="1"/>
      <c r="O90" s="1"/>
      <c r="P90" s="1"/>
      <c r="BG90" t="s">
        <v>1729</v>
      </c>
      <c r="BH90" t="s">
        <v>1861</v>
      </c>
    </row>
    <row r="91" spans="1:60" x14ac:dyDescent="0.35">
      <c r="A91" s="1" t="s">
        <v>77</v>
      </c>
      <c r="B91" s="1" t="s">
        <v>79</v>
      </c>
      <c r="C91" s="1" t="s">
        <v>98</v>
      </c>
      <c r="D91" s="1" t="s">
        <v>99</v>
      </c>
      <c r="E91" s="1" t="s">
        <v>1255</v>
      </c>
      <c r="F91" s="1" t="s">
        <v>1256</v>
      </c>
      <c r="I91" s="1"/>
      <c r="J91" s="1"/>
      <c r="K91" s="1"/>
      <c r="L91" s="1"/>
      <c r="O91" s="1"/>
      <c r="P91" s="1"/>
      <c r="BG91" t="s">
        <v>1699</v>
      </c>
      <c r="BH91" t="s">
        <v>1862</v>
      </c>
    </row>
    <row r="92" spans="1:60" x14ac:dyDescent="0.35">
      <c r="A92" s="1" t="s">
        <v>77</v>
      </c>
      <c r="B92" s="1" t="s">
        <v>79</v>
      </c>
      <c r="C92" s="1" t="s">
        <v>98</v>
      </c>
      <c r="D92" s="1" t="s">
        <v>99</v>
      </c>
      <c r="E92" s="1" t="s">
        <v>1305</v>
      </c>
      <c r="F92" s="1" t="s">
        <v>1306</v>
      </c>
      <c r="I92" s="1"/>
      <c r="J92" s="1"/>
      <c r="K92" s="1"/>
      <c r="L92" s="1"/>
      <c r="O92" s="1"/>
      <c r="P92" s="1"/>
      <c r="BG92" t="s">
        <v>1863</v>
      </c>
      <c r="BH92" t="s">
        <v>1864</v>
      </c>
    </row>
    <row r="93" spans="1:60" x14ac:dyDescent="0.35">
      <c r="A93" s="1" t="s">
        <v>77</v>
      </c>
      <c r="B93" s="1" t="s">
        <v>79</v>
      </c>
      <c r="C93" s="1" t="s">
        <v>98</v>
      </c>
      <c r="D93" s="1" t="s">
        <v>99</v>
      </c>
      <c r="E93" s="1" t="s">
        <v>1330</v>
      </c>
      <c r="F93" s="1" t="s">
        <v>1331</v>
      </c>
      <c r="I93" s="1"/>
      <c r="J93" s="1"/>
      <c r="K93" s="1"/>
      <c r="L93" s="1"/>
      <c r="O93" s="1"/>
      <c r="P93" s="1"/>
      <c r="BG93" t="s">
        <v>1748</v>
      </c>
      <c r="BH93" t="s">
        <v>1865</v>
      </c>
    </row>
    <row r="94" spans="1:60" x14ac:dyDescent="0.35">
      <c r="A94" s="1" t="s">
        <v>77</v>
      </c>
      <c r="B94" s="1" t="s">
        <v>79</v>
      </c>
      <c r="C94" s="1" t="s">
        <v>98</v>
      </c>
      <c r="D94" s="1" t="s">
        <v>99</v>
      </c>
      <c r="E94" s="1" t="s">
        <v>1407</v>
      </c>
      <c r="F94" s="1" t="s">
        <v>1408</v>
      </c>
      <c r="I94" s="1"/>
      <c r="J94" s="1"/>
      <c r="K94" s="1"/>
      <c r="L94" s="1"/>
      <c r="O94" s="1"/>
      <c r="P94" s="1"/>
      <c r="BG94" t="s">
        <v>1866</v>
      </c>
      <c r="BH94" t="s">
        <v>1867</v>
      </c>
    </row>
    <row r="95" spans="1:60" x14ac:dyDescent="0.35">
      <c r="A95" s="1" t="s">
        <v>77</v>
      </c>
      <c r="B95" s="1" t="s">
        <v>79</v>
      </c>
      <c r="C95" s="1" t="s">
        <v>98</v>
      </c>
      <c r="D95" s="1" t="s">
        <v>99</v>
      </c>
      <c r="E95" s="1" t="s">
        <v>1477</v>
      </c>
      <c r="F95" s="1" t="s">
        <v>1478</v>
      </c>
      <c r="I95" s="1"/>
      <c r="J95" s="1"/>
      <c r="K95" s="1"/>
      <c r="L95" s="1"/>
      <c r="O95" s="1"/>
      <c r="P95" s="1"/>
      <c r="BG95" t="s">
        <v>1700</v>
      </c>
      <c r="BH95" t="s">
        <v>1868</v>
      </c>
    </row>
    <row r="96" spans="1:60" x14ac:dyDescent="0.35">
      <c r="A96" s="1" t="s">
        <v>77</v>
      </c>
      <c r="B96" s="1" t="s">
        <v>79</v>
      </c>
      <c r="C96" s="1" t="s">
        <v>100</v>
      </c>
      <c r="D96" s="1" t="s">
        <v>101</v>
      </c>
      <c r="E96" s="1" t="s">
        <v>314</v>
      </c>
      <c r="F96" s="1" t="s">
        <v>315</v>
      </c>
      <c r="I96" s="1"/>
      <c r="J96" s="1"/>
      <c r="K96" s="1"/>
      <c r="L96" s="1"/>
      <c r="O96" s="1"/>
      <c r="P96" s="1"/>
      <c r="BG96" t="s">
        <v>1869</v>
      </c>
      <c r="BH96" t="s">
        <v>1870</v>
      </c>
    </row>
    <row r="97" spans="1:60" x14ac:dyDescent="0.35">
      <c r="A97" s="1" t="s">
        <v>77</v>
      </c>
      <c r="B97" s="1" t="s">
        <v>79</v>
      </c>
      <c r="C97" s="1" t="s">
        <v>100</v>
      </c>
      <c r="D97" s="1" t="s">
        <v>101</v>
      </c>
      <c r="E97" s="1" t="s">
        <v>531</v>
      </c>
      <c r="F97" s="1" t="s">
        <v>532</v>
      </c>
      <c r="I97" s="1"/>
      <c r="J97" s="1"/>
      <c r="K97" s="1"/>
      <c r="L97" s="1"/>
      <c r="O97" s="1"/>
      <c r="P97" s="1"/>
      <c r="BG97" s="35" t="s">
        <v>1703</v>
      </c>
      <c r="BH97" s="35" t="s">
        <v>1871</v>
      </c>
    </row>
    <row r="98" spans="1:60" x14ac:dyDescent="0.35">
      <c r="A98" s="1" t="s">
        <v>77</v>
      </c>
      <c r="B98" s="1" t="s">
        <v>79</v>
      </c>
      <c r="C98" s="1" t="s">
        <v>100</v>
      </c>
      <c r="D98" s="1" t="s">
        <v>101</v>
      </c>
      <c r="E98" s="1" t="s">
        <v>717</v>
      </c>
      <c r="F98" s="1" t="s">
        <v>718</v>
      </c>
      <c r="I98" s="1"/>
      <c r="J98" s="1"/>
      <c r="K98" s="1"/>
      <c r="L98" s="1"/>
      <c r="O98" s="1"/>
      <c r="P98" s="1"/>
      <c r="BG98" t="s">
        <v>1872</v>
      </c>
      <c r="BH98" t="s">
        <v>1873</v>
      </c>
    </row>
    <row r="99" spans="1:60" x14ac:dyDescent="0.35">
      <c r="A99" s="1" t="s">
        <v>77</v>
      </c>
      <c r="B99" s="1" t="s">
        <v>79</v>
      </c>
      <c r="C99" s="1" t="s">
        <v>100</v>
      </c>
      <c r="D99" s="1" t="s">
        <v>101</v>
      </c>
      <c r="E99" s="1" t="s">
        <v>805</v>
      </c>
      <c r="F99" s="1" t="s">
        <v>806</v>
      </c>
      <c r="I99" s="1"/>
      <c r="J99" s="1"/>
      <c r="K99" s="1"/>
      <c r="L99" s="1"/>
      <c r="O99" s="1"/>
      <c r="P99" s="1"/>
      <c r="BG99" t="s">
        <v>1874</v>
      </c>
      <c r="BH99" t="s">
        <v>1875</v>
      </c>
    </row>
    <row r="100" spans="1:60" x14ac:dyDescent="0.35">
      <c r="A100" s="1" t="s">
        <v>77</v>
      </c>
      <c r="B100" s="1" t="s">
        <v>79</v>
      </c>
      <c r="C100" s="1" t="s">
        <v>100</v>
      </c>
      <c r="D100" s="1" t="s">
        <v>101</v>
      </c>
      <c r="E100" s="1" t="s">
        <v>932</v>
      </c>
      <c r="F100" s="1" t="s">
        <v>933</v>
      </c>
      <c r="I100" s="1"/>
      <c r="J100" s="1"/>
      <c r="K100" s="1"/>
      <c r="L100" s="1"/>
      <c r="O100" s="1"/>
      <c r="P100" s="1"/>
      <c r="BG100" t="s">
        <v>1876</v>
      </c>
      <c r="BH100" t="s">
        <v>1876</v>
      </c>
    </row>
    <row r="101" spans="1:60" x14ac:dyDescent="0.35">
      <c r="A101" s="1" t="s">
        <v>77</v>
      </c>
      <c r="B101" s="1" t="s">
        <v>79</v>
      </c>
      <c r="C101" s="1" t="s">
        <v>100</v>
      </c>
      <c r="D101" s="1" t="s">
        <v>101</v>
      </c>
      <c r="E101" s="1" t="s">
        <v>100</v>
      </c>
      <c r="F101" s="1" t="s">
        <v>1079</v>
      </c>
      <c r="I101" s="1"/>
      <c r="J101" s="1"/>
      <c r="K101" s="1"/>
      <c r="L101" s="1"/>
      <c r="O101" s="1"/>
      <c r="P101" s="1"/>
      <c r="BG101" t="s">
        <v>1877</v>
      </c>
      <c r="BH101" t="s">
        <v>1878</v>
      </c>
    </row>
    <row r="102" spans="1:60" x14ac:dyDescent="0.35">
      <c r="A102" s="1" t="s">
        <v>77</v>
      </c>
      <c r="B102" s="1" t="s">
        <v>79</v>
      </c>
      <c r="C102" s="1" t="s">
        <v>100</v>
      </c>
      <c r="D102" s="1" t="s">
        <v>101</v>
      </c>
      <c r="E102" s="1" t="s">
        <v>1309</v>
      </c>
      <c r="F102" s="1" t="s">
        <v>1310</v>
      </c>
      <c r="I102" s="1"/>
      <c r="J102" s="1"/>
      <c r="K102" s="1"/>
      <c r="L102" s="1"/>
      <c r="O102" s="1"/>
      <c r="P102" s="1"/>
      <c r="BG102" t="s">
        <v>1963</v>
      </c>
      <c r="BH102" t="s">
        <v>1964</v>
      </c>
    </row>
    <row r="103" spans="1:60" x14ac:dyDescent="0.35">
      <c r="A103" s="1" t="s">
        <v>77</v>
      </c>
      <c r="B103" s="1" t="s">
        <v>79</v>
      </c>
      <c r="C103" s="1" t="s">
        <v>100</v>
      </c>
      <c r="D103" s="1" t="s">
        <v>101</v>
      </c>
      <c r="E103" s="1" t="s">
        <v>1397</v>
      </c>
      <c r="F103" s="1" t="s">
        <v>1398</v>
      </c>
      <c r="I103" s="1"/>
      <c r="J103" s="1"/>
      <c r="K103" s="1"/>
      <c r="L103" s="1"/>
      <c r="O103" s="1"/>
      <c r="P103" s="1"/>
      <c r="BG103" t="s">
        <v>1879</v>
      </c>
      <c r="BH103" t="s">
        <v>1880</v>
      </c>
    </row>
    <row r="104" spans="1:60" x14ac:dyDescent="0.35">
      <c r="A104" s="1" t="s">
        <v>77</v>
      </c>
      <c r="B104" s="1" t="s">
        <v>79</v>
      </c>
      <c r="C104" s="1" t="s">
        <v>100</v>
      </c>
      <c r="D104" s="1" t="s">
        <v>101</v>
      </c>
      <c r="E104" s="1" t="s">
        <v>1479</v>
      </c>
      <c r="F104" s="1" t="s">
        <v>1480</v>
      </c>
      <c r="I104" s="1"/>
      <c r="J104" s="1"/>
      <c r="K104" s="1"/>
      <c r="L104" s="1"/>
      <c r="O104" s="1"/>
      <c r="P104" s="1"/>
      <c r="BG104" t="s">
        <v>1881</v>
      </c>
      <c r="BH104" t="s">
        <v>1882</v>
      </c>
    </row>
    <row r="105" spans="1:60" x14ac:dyDescent="0.35">
      <c r="A105" s="1" t="s">
        <v>77</v>
      </c>
      <c r="B105" s="1" t="s">
        <v>79</v>
      </c>
      <c r="C105" s="1" t="s">
        <v>100</v>
      </c>
      <c r="D105" s="1" t="s">
        <v>101</v>
      </c>
      <c r="E105" s="1" t="s">
        <v>1511</v>
      </c>
      <c r="F105" s="1" t="s">
        <v>1512</v>
      </c>
      <c r="I105" s="1"/>
      <c r="J105" s="1"/>
      <c r="K105" s="1"/>
      <c r="L105" s="1"/>
      <c r="O105" s="1"/>
      <c r="P105" s="1"/>
      <c r="BG105" t="s">
        <v>1883</v>
      </c>
      <c r="BH105" t="s">
        <v>1884</v>
      </c>
    </row>
    <row r="106" spans="1:60" x14ac:dyDescent="0.35">
      <c r="A106" s="1" t="s">
        <v>77</v>
      </c>
      <c r="B106" s="1" t="s">
        <v>79</v>
      </c>
      <c r="C106" s="1" t="s">
        <v>102</v>
      </c>
      <c r="D106" s="1" t="s">
        <v>103</v>
      </c>
      <c r="E106" s="1" t="s">
        <v>314</v>
      </c>
      <c r="F106" s="1" t="s">
        <v>316</v>
      </c>
      <c r="I106" s="1"/>
      <c r="J106" s="1"/>
      <c r="K106" s="1"/>
      <c r="L106" s="1"/>
      <c r="O106" s="1"/>
      <c r="P106" s="1"/>
      <c r="BG106" t="s">
        <v>1885</v>
      </c>
      <c r="BH106" t="s">
        <v>1886</v>
      </c>
    </row>
    <row r="107" spans="1:60" x14ac:dyDescent="0.35">
      <c r="A107" s="1" t="s">
        <v>77</v>
      </c>
      <c r="B107" s="1" t="s">
        <v>79</v>
      </c>
      <c r="C107" s="1" t="s">
        <v>102</v>
      </c>
      <c r="D107" s="1" t="s">
        <v>103</v>
      </c>
      <c r="E107" s="1" t="s">
        <v>803</v>
      </c>
      <c r="F107" s="1" t="s">
        <v>804</v>
      </c>
      <c r="I107" s="1"/>
      <c r="J107" s="1"/>
      <c r="K107" s="1"/>
      <c r="L107" s="1"/>
      <c r="O107" s="1"/>
      <c r="P107" s="1"/>
      <c r="BG107" t="s">
        <v>1887</v>
      </c>
      <c r="BH107" t="s">
        <v>1888</v>
      </c>
    </row>
    <row r="108" spans="1:60" x14ac:dyDescent="0.35">
      <c r="A108" s="1" t="s">
        <v>77</v>
      </c>
      <c r="B108" s="1" t="s">
        <v>79</v>
      </c>
      <c r="C108" s="1" t="s">
        <v>102</v>
      </c>
      <c r="D108" s="1" t="s">
        <v>103</v>
      </c>
      <c r="E108" s="1" t="s">
        <v>961</v>
      </c>
      <c r="F108" s="1" t="s">
        <v>962</v>
      </c>
      <c r="I108" s="1"/>
      <c r="J108" s="1"/>
      <c r="K108" s="1"/>
      <c r="L108" s="1"/>
      <c r="O108" s="1"/>
      <c r="P108" s="1"/>
      <c r="BG108" t="s">
        <v>1891</v>
      </c>
      <c r="BH108" t="s">
        <v>1892</v>
      </c>
    </row>
    <row r="109" spans="1:60" x14ac:dyDescent="0.35">
      <c r="A109" s="1" t="s">
        <v>77</v>
      </c>
      <c r="B109" s="1" t="s">
        <v>79</v>
      </c>
      <c r="C109" s="1" t="s">
        <v>102</v>
      </c>
      <c r="D109" s="1" t="s">
        <v>103</v>
      </c>
      <c r="E109" s="1" t="s">
        <v>1087</v>
      </c>
      <c r="F109" s="1" t="s">
        <v>1088</v>
      </c>
      <c r="I109" s="1"/>
      <c r="J109" s="1"/>
      <c r="K109" s="1"/>
      <c r="L109" s="1"/>
      <c r="O109" s="1"/>
      <c r="P109" s="1"/>
      <c r="BG109" t="s">
        <v>1979</v>
      </c>
      <c r="BH109" t="s">
        <v>1980</v>
      </c>
    </row>
    <row r="110" spans="1:60" x14ac:dyDescent="0.35">
      <c r="A110" s="1" t="s">
        <v>77</v>
      </c>
      <c r="B110" s="1" t="s">
        <v>79</v>
      </c>
      <c r="C110" s="1" t="s">
        <v>102</v>
      </c>
      <c r="D110" s="1" t="s">
        <v>103</v>
      </c>
      <c r="E110" s="1" t="s">
        <v>1124</v>
      </c>
      <c r="F110" s="1" t="s">
        <v>1125</v>
      </c>
      <c r="I110" s="1"/>
      <c r="J110" s="1"/>
      <c r="K110" s="1"/>
      <c r="L110" s="1"/>
      <c r="O110" s="1"/>
      <c r="P110" s="1"/>
      <c r="BG110" t="s">
        <v>1893</v>
      </c>
      <c r="BH110" t="s">
        <v>1894</v>
      </c>
    </row>
    <row r="111" spans="1:60" x14ac:dyDescent="0.35">
      <c r="A111" s="1" t="s">
        <v>77</v>
      </c>
      <c r="B111" s="1" t="s">
        <v>79</v>
      </c>
      <c r="C111" s="1" t="s">
        <v>102</v>
      </c>
      <c r="D111" s="1" t="s">
        <v>103</v>
      </c>
      <c r="E111" s="1" t="s">
        <v>1157</v>
      </c>
      <c r="F111" s="1" t="s">
        <v>1158</v>
      </c>
      <c r="I111" s="1"/>
      <c r="J111" s="1"/>
      <c r="K111" s="1"/>
      <c r="L111" s="1"/>
      <c r="O111" s="1"/>
      <c r="P111" s="1"/>
      <c r="BG111" t="s">
        <v>1741</v>
      </c>
      <c r="BH111" t="s">
        <v>1895</v>
      </c>
    </row>
    <row r="112" spans="1:60" x14ac:dyDescent="0.35">
      <c r="A112" s="1" t="s">
        <v>77</v>
      </c>
      <c r="B112" s="1" t="s">
        <v>79</v>
      </c>
      <c r="C112" s="1" t="s">
        <v>102</v>
      </c>
      <c r="D112" s="1" t="s">
        <v>103</v>
      </c>
      <c r="E112" s="1" t="s">
        <v>1307</v>
      </c>
      <c r="F112" s="1" t="s">
        <v>1308</v>
      </c>
      <c r="I112" s="1"/>
      <c r="J112" s="1"/>
      <c r="K112" s="1"/>
      <c r="L112" s="1"/>
      <c r="O112" s="1"/>
      <c r="P112" s="1"/>
      <c r="BG112" t="s">
        <v>1896</v>
      </c>
      <c r="BH112" t="s">
        <v>1897</v>
      </c>
    </row>
    <row r="113" spans="1:60" x14ac:dyDescent="0.35">
      <c r="A113" s="1" t="s">
        <v>77</v>
      </c>
      <c r="B113" s="1" t="s">
        <v>79</v>
      </c>
      <c r="C113" s="1" t="s">
        <v>102</v>
      </c>
      <c r="D113" s="1" t="s">
        <v>103</v>
      </c>
      <c r="E113" s="1" t="s">
        <v>1385</v>
      </c>
      <c r="F113" s="1" t="s">
        <v>1386</v>
      </c>
      <c r="I113" s="1"/>
      <c r="J113" s="1"/>
      <c r="K113" s="1"/>
      <c r="L113" s="1"/>
      <c r="O113" s="1"/>
      <c r="P113" s="1"/>
      <c r="BG113" t="s">
        <v>1898</v>
      </c>
      <c r="BH113" t="s">
        <v>1899</v>
      </c>
    </row>
    <row r="114" spans="1:60" x14ac:dyDescent="0.35">
      <c r="A114" s="1" t="s">
        <v>77</v>
      </c>
      <c r="B114" s="1" t="s">
        <v>79</v>
      </c>
      <c r="C114" s="1" t="s">
        <v>102</v>
      </c>
      <c r="D114" s="1" t="s">
        <v>103</v>
      </c>
      <c r="E114" s="1" t="s">
        <v>1387</v>
      </c>
      <c r="F114" s="1" t="s">
        <v>1388</v>
      </c>
      <c r="I114" s="1"/>
      <c r="J114" s="1"/>
      <c r="K114" s="1"/>
      <c r="L114" s="1"/>
      <c r="O114" s="1"/>
      <c r="P114" s="1"/>
      <c r="BG114" t="s">
        <v>1730</v>
      </c>
      <c r="BH114" t="s">
        <v>1900</v>
      </c>
    </row>
    <row r="115" spans="1:60" x14ac:dyDescent="0.35">
      <c r="A115" s="1" t="s">
        <v>77</v>
      </c>
      <c r="B115" s="1" t="s">
        <v>79</v>
      </c>
      <c r="C115" s="1" t="s">
        <v>102</v>
      </c>
      <c r="D115" s="1" t="s">
        <v>103</v>
      </c>
      <c r="E115" s="1" t="s">
        <v>1413</v>
      </c>
      <c r="F115" s="1" t="s">
        <v>1414</v>
      </c>
      <c r="I115" s="1"/>
      <c r="J115" s="1"/>
      <c r="K115" s="1"/>
      <c r="L115" s="1"/>
      <c r="O115" s="1"/>
      <c r="P115" s="1"/>
      <c r="BG115" t="s">
        <v>1742</v>
      </c>
      <c r="BH115" t="s">
        <v>1901</v>
      </c>
    </row>
    <row r="116" spans="1:60" x14ac:dyDescent="0.35">
      <c r="A116" s="1" t="s">
        <v>77</v>
      </c>
      <c r="B116" s="1" t="s">
        <v>79</v>
      </c>
      <c r="C116" s="1" t="s">
        <v>104</v>
      </c>
      <c r="D116" s="1" t="s">
        <v>105</v>
      </c>
      <c r="E116" s="1" t="s">
        <v>280</v>
      </c>
      <c r="F116" s="1" t="s">
        <v>281</v>
      </c>
      <c r="I116" s="1"/>
      <c r="J116" s="1"/>
      <c r="K116" s="1"/>
      <c r="L116" s="1"/>
      <c r="O116" s="1"/>
      <c r="P116" s="1"/>
      <c r="BG116" t="s">
        <v>1731</v>
      </c>
      <c r="BH116" t="s">
        <v>1902</v>
      </c>
    </row>
    <row r="117" spans="1:60" x14ac:dyDescent="0.35">
      <c r="A117" s="1" t="s">
        <v>77</v>
      </c>
      <c r="B117" s="1" t="s">
        <v>79</v>
      </c>
      <c r="C117" s="1" t="s">
        <v>104</v>
      </c>
      <c r="D117" s="1" t="s">
        <v>105</v>
      </c>
      <c r="E117" s="1" t="s">
        <v>333</v>
      </c>
      <c r="F117" s="1" t="s">
        <v>334</v>
      </c>
      <c r="I117" s="1"/>
      <c r="J117" s="1"/>
      <c r="K117" s="1"/>
      <c r="L117" s="1"/>
      <c r="O117" s="1"/>
      <c r="P117" s="1"/>
      <c r="BG117" t="s">
        <v>1903</v>
      </c>
      <c r="BH117" t="s">
        <v>1904</v>
      </c>
    </row>
    <row r="118" spans="1:60" x14ac:dyDescent="0.35">
      <c r="A118" s="1" t="s">
        <v>77</v>
      </c>
      <c r="B118" s="1" t="s">
        <v>79</v>
      </c>
      <c r="C118" s="1" t="s">
        <v>104</v>
      </c>
      <c r="D118" s="1" t="s">
        <v>105</v>
      </c>
      <c r="E118" s="1" t="s">
        <v>624</v>
      </c>
      <c r="F118" s="1" t="s">
        <v>625</v>
      </c>
      <c r="I118" s="1"/>
      <c r="J118" s="1"/>
      <c r="K118" s="1"/>
      <c r="L118" s="1"/>
      <c r="O118" s="1"/>
      <c r="P118" s="1"/>
      <c r="BG118" t="s">
        <v>1981</v>
      </c>
      <c r="BH118" t="s">
        <v>1982</v>
      </c>
    </row>
    <row r="119" spans="1:60" x14ac:dyDescent="0.35">
      <c r="A119" s="1" t="s">
        <v>77</v>
      </c>
      <c r="B119" s="1" t="s">
        <v>79</v>
      </c>
      <c r="C119" s="1" t="s">
        <v>104</v>
      </c>
      <c r="D119" s="1" t="s">
        <v>105</v>
      </c>
      <c r="E119" s="1" t="s">
        <v>663</v>
      </c>
      <c r="F119" s="1" t="s">
        <v>664</v>
      </c>
      <c r="I119" s="1"/>
      <c r="J119" s="1"/>
      <c r="K119" s="1"/>
      <c r="L119" s="1"/>
      <c r="O119" s="1"/>
      <c r="P119" s="1"/>
      <c r="BG119" t="s">
        <v>1905</v>
      </c>
      <c r="BH119" t="s">
        <v>1906</v>
      </c>
    </row>
    <row r="120" spans="1:60" x14ac:dyDescent="0.35">
      <c r="A120" s="1" t="s">
        <v>77</v>
      </c>
      <c r="B120" s="1" t="s">
        <v>79</v>
      </c>
      <c r="C120" s="1" t="s">
        <v>104</v>
      </c>
      <c r="D120" s="1" t="s">
        <v>105</v>
      </c>
      <c r="E120" s="1" t="s">
        <v>690</v>
      </c>
      <c r="F120" s="1" t="s">
        <v>691</v>
      </c>
      <c r="I120" s="1"/>
      <c r="J120" s="1"/>
      <c r="K120" s="1"/>
      <c r="L120" s="1"/>
      <c r="O120" s="1"/>
      <c r="P120" s="1"/>
      <c r="BG120" t="s">
        <v>1907</v>
      </c>
      <c r="BH120" t="s">
        <v>1908</v>
      </c>
    </row>
    <row r="121" spans="1:60" x14ac:dyDescent="0.35">
      <c r="A121" s="1" t="s">
        <v>77</v>
      </c>
      <c r="B121" s="1" t="s">
        <v>79</v>
      </c>
      <c r="C121" s="1" t="s">
        <v>104</v>
      </c>
      <c r="D121" s="1" t="s">
        <v>105</v>
      </c>
      <c r="E121" s="1" t="s">
        <v>848</v>
      </c>
      <c r="F121" s="1" t="s">
        <v>849</v>
      </c>
      <c r="I121" s="1"/>
      <c r="J121" s="1"/>
      <c r="K121" s="1"/>
      <c r="L121" s="1"/>
      <c r="O121" s="1"/>
      <c r="P121" s="1"/>
      <c r="BG121" t="s">
        <v>1909</v>
      </c>
      <c r="BH121" t="s">
        <v>1910</v>
      </c>
    </row>
    <row r="122" spans="1:60" x14ac:dyDescent="0.35">
      <c r="A122" s="1" t="s">
        <v>77</v>
      </c>
      <c r="B122" s="1" t="s">
        <v>79</v>
      </c>
      <c r="C122" s="1" t="s">
        <v>104</v>
      </c>
      <c r="D122" s="1" t="s">
        <v>105</v>
      </c>
      <c r="E122" s="1" t="s">
        <v>1149</v>
      </c>
      <c r="F122" s="1" t="s">
        <v>1150</v>
      </c>
      <c r="I122" s="1"/>
      <c r="J122" s="1"/>
      <c r="K122" s="1"/>
      <c r="L122" s="1"/>
      <c r="O122" s="1"/>
      <c r="P122" s="1"/>
      <c r="BG122" t="s">
        <v>1911</v>
      </c>
      <c r="BH122" t="s">
        <v>1912</v>
      </c>
    </row>
    <row r="123" spans="1:60" x14ac:dyDescent="0.35">
      <c r="A123" s="1" t="s">
        <v>77</v>
      </c>
      <c r="B123" s="1" t="s">
        <v>79</v>
      </c>
      <c r="C123" s="1" t="s">
        <v>104</v>
      </c>
      <c r="D123" s="1" t="s">
        <v>105</v>
      </c>
      <c r="E123" s="1" t="s">
        <v>1167</v>
      </c>
      <c r="F123" s="1" t="s">
        <v>1168</v>
      </c>
      <c r="I123" s="1"/>
      <c r="J123" s="1"/>
      <c r="K123" s="1"/>
      <c r="L123" s="1"/>
      <c r="O123" s="1"/>
      <c r="P123" s="1"/>
      <c r="BG123" t="s">
        <v>1913</v>
      </c>
      <c r="BH123" t="s">
        <v>1914</v>
      </c>
    </row>
    <row r="124" spans="1:60" x14ac:dyDescent="0.35">
      <c r="A124" s="1" t="s">
        <v>77</v>
      </c>
      <c r="B124" s="1" t="s">
        <v>79</v>
      </c>
      <c r="C124" s="1" t="s">
        <v>104</v>
      </c>
      <c r="D124" s="1" t="s">
        <v>105</v>
      </c>
      <c r="E124" s="1" t="s">
        <v>1238</v>
      </c>
      <c r="F124" s="1" t="s">
        <v>1239</v>
      </c>
      <c r="I124" s="1"/>
      <c r="J124" s="1"/>
      <c r="K124" s="1"/>
      <c r="L124" s="1"/>
      <c r="O124" s="1"/>
      <c r="P124" s="1"/>
      <c r="BG124" t="s">
        <v>1983</v>
      </c>
      <c r="BH124" t="s">
        <v>1984</v>
      </c>
    </row>
    <row r="125" spans="1:60" x14ac:dyDescent="0.35">
      <c r="A125" s="1" t="s">
        <v>77</v>
      </c>
      <c r="B125" s="1" t="s">
        <v>79</v>
      </c>
      <c r="C125" s="1" t="s">
        <v>104</v>
      </c>
      <c r="D125" s="1" t="s">
        <v>105</v>
      </c>
      <c r="E125" s="1" t="s">
        <v>1327</v>
      </c>
      <c r="F125" s="1" t="s">
        <v>1329</v>
      </c>
      <c r="I125" s="1"/>
      <c r="J125" s="1"/>
      <c r="K125" s="1"/>
      <c r="L125" s="1"/>
      <c r="O125" s="1"/>
      <c r="P125" s="1"/>
      <c r="BG125" t="s">
        <v>1732</v>
      </c>
      <c r="BH125" t="s">
        <v>1915</v>
      </c>
    </row>
    <row r="126" spans="1:60" x14ac:dyDescent="0.35">
      <c r="A126" s="1" t="s">
        <v>77</v>
      </c>
      <c r="B126" s="1" t="s">
        <v>79</v>
      </c>
      <c r="C126" s="1" t="s">
        <v>104</v>
      </c>
      <c r="D126" s="1" t="s">
        <v>105</v>
      </c>
      <c r="E126" s="1" t="s">
        <v>1435</v>
      </c>
      <c r="F126" s="1" t="s">
        <v>1436</v>
      </c>
      <c r="I126" s="1"/>
      <c r="J126" s="1"/>
      <c r="K126" s="1"/>
      <c r="L126" s="1"/>
      <c r="O126" s="1"/>
      <c r="P126" s="1"/>
      <c r="BG126" t="s">
        <v>1724</v>
      </c>
      <c r="BH126" t="s">
        <v>1916</v>
      </c>
    </row>
    <row r="127" spans="1:60" x14ac:dyDescent="0.35">
      <c r="A127" s="1" t="s">
        <v>77</v>
      </c>
      <c r="B127" s="1" t="s">
        <v>79</v>
      </c>
      <c r="C127" s="1" t="s">
        <v>104</v>
      </c>
      <c r="D127" s="1" t="s">
        <v>105</v>
      </c>
      <c r="E127" s="1" t="s">
        <v>1556</v>
      </c>
      <c r="F127" s="1" t="s">
        <v>1557</v>
      </c>
      <c r="I127" s="1"/>
      <c r="J127" s="1"/>
      <c r="K127" s="1"/>
      <c r="L127" s="1"/>
      <c r="O127" s="1"/>
      <c r="P127" s="1"/>
      <c r="BG127" t="s">
        <v>1985</v>
      </c>
      <c r="BH127" t="s">
        <v>1986</v>
      </c>
    </row>
    <row r="128" spans="1:60" x14ac:dyDescent="0.35">
      <c r="A128" s="1" t="s">
        <v>77</v>
      </c>
      <c r="B128" s="1" t="s">
        <v>79</v>
      </c>
      <c r="C128" s="1" t="s">
        <v>106</v>
      </c>
      <c r="D128" s="1" t="s">
        <v>107</v>
      </c>
      <c r="E128" s="1" t="s">
        <v>312</v>
      </c>
      <c r="F128" s="1" t="s">
        <v>313</v>
      </c>
      <c r="I128" s="1"/>
      <c r="J128" s="1"/>
      <c r="K128" s="1"/>
      <c r="L128" s="1"/>
      <c r="O128" s="1"/>
      <c r="P128" s="1"/>
      <c r="BG128" t="s">
        <v>1917</v>
      </c>
      <c r="BH128" t="s">
        <v>1918</v>
      </c>
    </row>
    <row r="129" spans="1:60" x14ac:dyDescent="0.35">
      <c r="A129" s="1" t="s">
        <v>77</v>
      </c>
      <c r="B129" s="1" t="s">
        <v>79</v>
      </c>
      <c r="C129" s="1" t="s">
        <v>106</v>
      </c>
      <c r="D129" s="1" t="s">
        <v>107</v>
      </c>
      <c r="E129" s="1" t="s">
        <v>578</v>
      </c>
      <c r="F129" s="1" t="s">
        <v>579</v>
      </c>
      <c r="I129" s="1"/>
      <c r="J129" s="1"/>
      <c r="K129" s="1"/>
      <c r="L129" s="1"/>
      <c r="O129" s="1"/>
      <c r="P129" s="1"/>
      <c r="BG129" t="s">
        <v>1919</v>
      </c>
      <c r="BH129" t="s">
        <v>1920</v>
      </c>
    </row>
    <row r="130" spans="1:60" x14ac:dyDescent="0.35">
      <c r="A130" s="1" t="s">
        <v>77</v>
      </c>
      <c r="B130" s="1" t="s">
        <v>79</v>
      </c>
      <c r="C130" s="1" t="s">
        <v>106</v>
      </c>
      <c r="D130" s="1" t="s">
        <v>107</v>
      </c>
      <c r="E130" s="1" t="s">
        <v>638</v>
      </c>
      <c r="F130" s="1" t="s">
        <v>639</v>
      </c>
      <c r="I130" s="1"/>
      <c r="J130" s="1"/>
      <c r="K130" s="1"/>
      <c r="L130" s="1"/>
      <c r="O130" s="1"/>
      <c r="P130" s="1"/>
      <c r="BG130" t="s">
        <v>1654</v>
      </c>
      <c r="BH130" t="s">
        <v>1654</v>
      </c>
    </row>
    <row r="131" spans="1:60" x14ac:dyDescent="0.35">
      <c r="A131" s="1" t="s">
        <v>77</v>
      </c>
      <c r="B131" s="1" t="s">
        <v>79</v>
      </c>
      <c r="C131" s="1" t="s">
        <v>106</v>
      </c>
      <c r="D131" s="1" t="s">
        <v>107</v>
      </c>
      <c r="E131" s="1" t="s">
        <v>850</v>
      </c>
      <c r="F131" s="1" t="s">
        <v>851</v>
      </c>
      <c r="I131" s="1"/>
      <c r="J131" s="1"/>
      <c r="K131" s="1"/>
      <c r="L131" s="1"/>
      <c r="O131" s="1"/>
      <c r="P131" s="1"/>
      <c r="BG131" t="s">
        <v>1743</v>
      </c>
      <c r="BH131" t="s">
        <v>1921</v>
      </c>
    </row>
    <row r="132" spans="1:60" x14ac:dyDescent="0.35">
      <c r="A132" s="1" t="s">
        <v>77</v>
      </c>
      <c r="B132" s="1" t="s">
        <v>79</v>
      </c>
      <c r="C132" s="1" t="s">
        <v>106</v>
      </c>
      <c r="D132" s="1" t="s">
        <v>107</v>
      </c>
      <c r="E132" s="1" t="s">
        <v>1080</v>
      </c>
      <c r="F132" s="1" t="s">
        <v>1081</v>
      </c>
      <c r="I132" s="1"/>
      <c r="J132" s="1"/>
      <c r="K132" s="1"/>
      <c r="L132" s="1"/>
      <c r="O132" s="1"/>
      <c r="P132" s="1"/>
      <c r="BG132" t="s">
        <v>1922</v>
      </c>
      <c r="BH132" t="s">
        <v>1923</v>
      </c>
    </row>
    <row r="133" spans="1:60" x14ac:dyDescent="0.35">
      <c r="A133" s="1" t="s">
        <v>77</v>
      </c>
      <c r="B133" s="1" t="s">
        <v>79</v>
      </c>
      <c r="C133" s="1" t="s">
        <v>106</v>
      </c>
      <c r="D133" s="1" t="s">
        <v>107</v>
      </c>
      <c r="E133" s="1" t="s">
        <v>1175</v>
      </c>
      <c r="F133" s="1" t="s">
        <v>1176</v>
      </c>
      <c r="I133" s="1"/>
      <c r="J133" s="1"/>
      <c r="K133" s="1"/>
      <c r="L133" s="1"/>
      <c r="O133" s="1"/>
      <c r="P133" s="1"/>
      <c r="BG133" t="s">
        <v>1987</v>
      </c>
      <c r="BH133" t="s">
        <v>1988</v>
      </c>
    </row>
    <row r="134" spans="1:60" x14ac:dyDescent="0.35">
      <c r="A134" s="1" t="s">
        <v>77</v>
      </c>
      <c r="B134" s="1" t="s">
        <v>79</v>
      </c>
      <c r="C134" s="1" t="s">
        <v>106</v>
      </c>
      <c r="D134" s="1" t="s">
        <v>107</v>
      </c>
      <c r="E134" s="1" t="s">
        <v>1177</v>
      </c>
      <c r="F134" s="1" t="s">
        <v>1178</v>
      </c>
      <c r="I134" s="1"/>
      <c r="J134" s="1"/>
      <c r="K134" s="1"/>
      <c r="L134" s="1"/>
      <c r="O134" s="1"/>
      <c r="P134" s="1"/>
      <c r="BG134" t="s">
        <v>1965</v>
      </c>
      <c r="BH134" t="s">
        <v>1966</v>
      </c>
    </row>
    <row r="135" spans="1:60" x14ac:dyDescent="0.35">
      <c r="A135" s="1" t="s">
        <v>77</v>
      </c>
      <c r="B135" s="1" t="s">
        <v>79</v>
      </c>
      <c r="C135" s="1" t="s">
        <v>106</v>
      </c>
      <c r="D135" s="1" t="s">
        <v>107</v>
      </c>
      <c r="E135" s="1" t="s">
        <v>1187</v>
      </c>
      <c r="F135" s="1" t="s">
        <v>1188</v>
      </c>
      <c r="I135" s="1"/>
      <c r="J135" s="1"/>
      <c r="K135" s="1"/>
      <c r="L135" s="1"/>
      <c r="O135" s="1"/>
      <c r="P135" s="1"/>
      <c r="BG135" t="s">
        <v>1924</v>
      </c>
      <c r="BH135" t="s">
        <v>1925</v>
      </c>
    </row>
    <row r="136" spans="1:60" x14ac:dyDescent="0.35">
      <c r="A136" s="1" t="s">
        <v>77</v>
      </c>
      <c r="B136" s="1" t="s">
        <v>79</v>
      </c>
      <c r="C136" s="1" t="s">
        <v>106</v>
      </c>
      <c r="D136" s="1" t="s">
        <v>107</v>
      </c>
      <c r="E136" s="1" t="s">
        <v>1216</v>
      </c>
      <c r="F136" s="1" t="s">
        <v>1217</v>
      </c>
      <c r="I136" s="1"/>
      <c r="J136" s="1"/>
      <c r="K136" s="1"/>
      <c r="L136" s="1"/>
      <c r="O136" s="1"/>
      <c r="P136" s="1"/>
      <c r="BG136" t="s">
        <v>1998</v>
      </c>
      <c r="BH136" t="s">
        <v>1926</v>
      </c>
    </row>
    <row r="137" spans="1:60" x14ac:dyDescent="0.35">
      <c r="A137" s="1" t="s">
        <v>77</v>
      </c>
      <c r="B137" s="1" t="s">
        <v>79</v>
      </c>
      <c r="C137" s="1" t="s">
        <v>106</v>
      </c>
      <c r="D137" s="1" t="s">
        <v>107</v>
      </c>
      <c r="E137" s="1" t="s">
        <v>1285</v>
      </c>
      <c r="F137" s="1" t="s">
        <v>1286</v>
      </c>
      <c r="I137" s="1"/>
      <c r="J137" s="1"/>
      <c r="K137" s="1"/>
      <c r="L137" s="1"/>
      <c r="O137" s="1"/>
      <c r="P137" s="1"/>
      <c r="BG137" t="s">
        <v>1994</v>
      </c>
      <c r="BH137" t="s">
        <v>1991</v>
      </c>
    </row>
    <row r="138" spans="1:60" x14ac:dyDescent="0.35">
      <c r="A138" s="1" t="s">
        <v>77</v>
      </c>
      <c r="B138" s="1" t="s">
        <v>79</v>
      </c>
      <c r="C138" s="1" t="s">
        <v>106</v>
      </c>
      <c r="D138" s="1" t="s">
        <v>107</v>
      </c>
      <c r="E138" s="1" t="s">
        <v>1379</v>
      </c>
      <c r="F138" s="1" t="s">
        <v>1380</v>
      </c>
      <c r="I138" s="1"/>
      <c r="J138" s="1"/>
      <c r="K138" s="1"/>
      <c r="L138" s="1"/>
      <c r="O138" s="1"/>
      <c r="P138" s="1"/>
      <c r="BG138" t="s">
        <v>1927</v>
      </c>
      <c r="BH138" t="s">
        <v>1928</v>
      </c>
    </row>
    <row r="139" spans="1:60" x14ac:dyDescent="0.35">
      <c r="A139" s="1" t="s">
        <v>77</v>
      </c>
      <c r="B139" s="1" t="s">
        <v>79</v>
      </c>
      <c r="C139" s="1" t="s">
        <v>106</v>
      </c>
      <c r="D139" s="1" t="s">
        <v>107</v>
      </c>
      <c r="E139" s="1" t="s">
        <v>1448</v>
      </c>
      <c r="F139" s="1" t="s">
        <v>1449</v>
      </c>
      <c r="I139" s="1"/>
      <c r="J139" s="1"/>
      <c r="K139" s="1"/>
      <c r="L139" s="1"/>
      <c r="O139" s="1"/>
      <c r="P139" s="1"/>
      <c r="BG139" t="s">
        <v>1744</v>
      </c>
      <c r="BH139" t="s">
        <v>1929</v>
      </c>
    </row>
    <row r="140" spans="1:60" x14ac:dyDescent="0.35">
      <c r="A140" s="1" t="s">
        <v>77</v>
      </c>
      <c r="B140" s="1" t="s">
        <v>79</v>
      </c>
      <c r="C140" s="1" t="s">
        <v>106</v>
      </c>
      <c r="D140" s="1" t="s">
        <v>107</v>
      </c>
      <c r="E140" s="1" t="s">
        <v>1454</v>
      </c>
      <c r="F140" s="1" t="s">
        <v>1455</v>
      </c>
      <c r="I140" s="1"/>
      <c r="J140" s="1"/>
      <c r="K140" s="1"/>
      <c r="L140" s="1"/>
      <c r="O140" s="1"/>
      <c r="P140" s="1"/>
      <c r="BG140" t="s">
        <v>1930</v>
      </c>
      <c r="BH140" t="s">
        <v>1931</v>
      </c>
    </row>
    <row r="141" spans="1:60" x14ac:dyDescent="0.35">
      <c r="A141" s="1" t="s">
        <v>77</v>
      </c>
      <c r="B141" s="1" t="s">
        <v>79</v>
      </c>
      <c r="C141" s="1" t="s">
        <v>106</v>
      </c>
      <c r="D141" s="1" t="s">
        <v>107</v>
      </c>
      <c r="E141" s="1" t="s">
        <v>1467</v>
      </c>
      <c r="F141" s="1" t="s">
        <v>1468</v>
      </c>
      <c r="I141" s="1"/>
      <c r="J141" s="1"/>
      <c r="K141" s="1"/>
      <c r="L141" s="1"/>
      <c r="O141" s="1"/>
      <c r="P141" s="1"/>
      <c r="BG141" t="s">
        <v>1932</v>
      </c>
      <c r="BH141" t="s">
        <v>1933</v>
      </c>
    </row>
    <row r="142" spans="1:60" x14ac:dyDescent="0.35">
      <c r="A142" s="1" t="s">
        <v>77</v>
      </c>
      <c r="B142" s="1" t="s">
        <v>79</v>
      </c>
      <c r="C142" s="1" t="s">
        <v>106</v>
      </c>
      <c r="D142" s="1" t="s">
        <v>107</v>
      </c>
      <c r="E142" s="1" t="s">
        <v>1491</v>
      </c>
      <c r="F142" s="1" t="s">
        <v>1492</v>
      </c>
      <c r="I142" s="1"/>
      <c r="J142" s="1"/>
      <c r="K142" s="1"/>
      <c r="L142" s="1"/>
      <c r="O142" s="1"/>
      <c r="P142" s="1"/>
      <c r="BG142" t="s">
        <v>1725</v>
      </c>
      <c r="BH142" t="s">
        <v>1725</v>
      </c>
    </row>
    <row r="143" spans="1:60" x14ac:dyDescent="0.35">
      <c r="A143" s="1" t="s">
        <v>77</v>
      </c>
      <c r="B143" s="1" t="s">
        <v>79</v>
      </c>
      <c r="C143" s="1" t="s">
        <v>106</v>
      </c>
      <c r="D143" s="1" t="s">
        <v>107</v>
      </c>
      <c r="E143" s="1" t="s">
        <v>1571</v>
      </c>
      <c r="F143" s="1" t="s">
        <v>1572</v>
      </c>
      <c r="I143" s="1"/>
      <c r="J143" s="1"/>
      <c r="K143" s="1"/>
      <c r="L143" s="1"/>
      <c r="O143" s="1"/>
      <c r="P143" s="1"/>
    </row>
    <row r="144" spans="1:60" x14ac:dyDescent="0.35">
      <c r="A144" s="1" t="s">
        <v>77</v>
      </c>
      <c r="B144" s="1" t="s">
        <v>79</v>
      </c>
      <c r="C144" s="1" t="s">
        <v>108</v>
      </c>
      <c r="D144" s="1" t="s">
        <v>109</v>
      </c>
      <c r="E144" s="1" t="s">
        <v>278</v>
      </c>
      <c r="F144" s="1" t="s">
        <v>279</v>
      </c>
      <c r="I144" s="1"/>
      <c r="J144" s="1"/>
      <c r="K144" s="1"/>
      <c r="L144" s="1"/>
      <c r="O144" s="1"/>
      <c r="P144" s="1"/>
    </row>
    <row r="145" spans="1:16" x14ac:dyDescent="0.35">
      <c r="A145" s="1" t="s">
        <v>77</v>
      </c>
      <c r="B145" s="1" t="s">
        <v>79</v>
      </c>
      <c r="C145" s="1" t="s">
        <v>108</v>
      </c>
      <c r="D145" s="1" t="s">
        <v>109</v>
      </c>
      <c r="E145" s="1" t="s">
        <v>323</v>
      </c>
      <c r="F145" s="1" t="s">
        <v>324</v>
      </c>
      <c r="I145" s="1"/>
      <c r="J145" s="1"/>
      <c r="K145" s="1"/>
      <c r="L145" s="1"/>
      <c r="O145" s="1"/>
      <c r="P145" s="1"/>
    </row>
    <row r="146" spans="1:16" x14ac:dyDescent="0.35">
      <c r="A146" s="1" t="s">
        <v>77</v>
      </c>
      <c r="B146" s="1" t="s">
        <v>79</v>
      </c>
      <c r="C146" s="1" t="s">
        <v>108</v>
      </c>
      <c r="D146" s="1" t="s">
        <v>109</v>
      </c>
      <c r="E146" s="1" t="s">
        <v>492</v>
      </c>
      <c r="F146" s="1" t="s">
        <v>493</v>
      </c>
      <c r="I146" s="1"/>
      <c r="J146" s="1"/>
      <c r="K146" s="1"/>
      <c r="L146" s="1"/>
      <c r="O146" s="1"/>
      <c r="P146" s="1"/>
    </row>
    <row r="147" spans="1:16" x14ac:dyDescent="0.35">
      <c r="A147" s="1" t="s">
        <v>77</v>
      </c>
      <c r="B147" s="1" t="s">
        <v>79</v>
      </c>
      <c r="C147" s="1" t="s">
        <v>108</v>
      </c>
      <c r="D147" s="1" t="s">
        <v>109</v>
      </c>
      <c r="E147" s="1" t="s">
        <v>950</v>
      </c>
      <c r="F147" s="1" t="s">
        <v>951</v>
      </c>
      <c r="I147" s="1"/>
      <c r="J147" s="1"/>
      <c r="K147" s="1"/>
      <c r="L147" s="1"/>
      <c r="O147" s="1"/>
      <c r="P147" s="1"/>
    </row>
    <row r="148" spans="1:16" x14ac:dyDescent="0.35">
      <c r="A148" s="1" t="s">
        <v>77</v>
      </c>
      <c r="B148" s="1" t="s">
        <v>79</v>
      </c>
      <c r="C148" s="1" t="s">
        <v>108</v>
      </c>
      <c r="D148" s="1" t="s">
        <v>109</v>
      </c>
      <c r="E148" s="1" t="s">
        <v>1062</v>
      </c>
      <c r="F148" s="1" t="s">
        <v>1063</v>
      </c>
      <c r="I148" s="1"/>
      <c r="J148" s="1"/>
      <c r="K148" s="1"/>
      <c r="L148" s="1"/>
      <c r="O148" s="1"/>
      <c r="P148" s="1"/>
    </row>
    <row r="149" spans="1:16" x14ac:dyDescent="0.35">
      <c r="A149" s="1" t="s">
        <v>77</v>
      </c>
      <c r="B149" s="1" t="s">
        <v>79</v>
      </c>
      <c r="C149" s="1" t="s">
        <v>108</v>
      </c>
      <c r="D149" s="1" t="s">
        <v>109</v>
      </c>
      <c r="E149" s="1" t="s">
        <v>1147</v>
      </c>
      <c r="F149" s="1" t="s">
        <v>1148</v>
      </c>
      <c r="I149" s="1"/>
      <c r="J149" s="1"/>
      <c r="K149" s="1"/>
      <c r="L149" s="1"/>
      <c r="O149" s="1"/>
      <c r="P149" s="1"/>
    </row>
    <row r="150" spans="1:16" x14ac:dyDescent="0.35">
      <c r="A150" s="1" t="s">
        <v>77</v>
      </c>
      <c r="B150" s="1" t="s">
        <v>79</v>
      </c>
      <c r="C150" s="1" t="s">
        <v>108</v>
      </c>
      <c r="D150" s="1" t="s">
        <v>109</v>
      </c>
      <c r="E150" s="1" t="s">
        <v>1179</v>
      </c>
      <c r="F150" s="1" t="s">
        <v>1180</v>
      </c>
      <c r="I150" s="1"/>
      <c r="J150" s="1"/>
      <c r="K150" s="1"/>
      <c r="L150" s="1"/>
      <c r="O150" s="1"/>
      <c r="P150" s="1"/>
    </row>
    <row r="151" spans="1:16" x14ac:dyDescent="0.35">
      <c r="A151" s="1" t="s">
        <v>77</v>
      </c>
      <c r="B151" s="1" t="s">
        <v>79</v>
      </c>
      <c r="C151" s="1" t="s">
        <v>108</v>
      </c>
      <c r="D151" s="1" t="s">
        <v>109</v>
      </c>
      <c r="E151" s="1" t="s">
        <v>1202</v>
      </c>
      <c r="F151" s="1" t="s">
        <v>1203</v>
      </c>
      <c r="I151" s="1"/>
      <c r="J151" s="1"/>
      <c r="K151" s="1"/>
      <c r="L151" s="1"/>
      <c r="O151" s="1"/>
      <c r="P151" s="1"/>
    </row>
    <row r="152" spans="1:16" x14ac:dyDescent="0.35">
      <c r="A152" s="1" t="s">
        <v>77</v>
      </c>
      <c r="B152" s="1" t="s">
        <v>79</v>
      </c>
      <c r="C152" s="1" t="s">
        <v>108</v>
      </c>
      <c r="D152" s="1" t="s">
        <v>109</v>
      </c>
      <c r="E152" s="1" t="s">
        <v>1340</v>
      </c>
      <c r="F152" s="1" t="s">
        <v>1341</v>
      </c>
      <c r="I152" s="1"/>
      <c r="J152" s="1"/>
      <c r="K152" s="1"/>
      <c r="L152" s="1"/>
      <c r="O152" s="1"/>
      <c r="P152" s="1"/>
    </row>
    <row r="153" spans="1:16" x14ac:dyDescent="0.35">
      <c r="A153" s="1" t="s">
        <v>77</v>
      </c>
      <c r="B153" s="1" t="s">
        <v>79</v>
      </c>
      <c r="C153" s="1" t="s">
        <v>108</v>
      </c>
      <c r="D153" s="1" t="s">
        <v>109</v>
      </c>
      <c r="E153" s="1" t="s">
        <v>1469</v>
      </c>
      <c r="F153" s="1" t="s">
        <v>1470</v>
      </c>
      <c r="I153" s="1"/>
      <c r="J153" s="1"/>
      <c r="K153" s="1"/>
      <c r="L153" s="1"/>
      <c r="O153" s="1"/>
      <c r="P153" s="1"/>
    </row>
    <row r="154" spans="1:16" x14ac:dyDescent="0.35">
      <c r="A154" s="1" t="s">
        <v>77</v>
      </c>
      <c r="B154" s="1" t="s">
        <v>79</v>
      </c>
      <c r="C154" s="1" t="s">
        <v>108</v>
      </c>
      <c r="D154" s="1" t="s">
        <v>109</v>
      </c>
      <c r="E154" s="1" t="s">
        <v>1547</v>
      </c>
      <c r="F154" s="1" t="s">
        <v>1548</v>
      </c>
      <c r="I154" s="1"/>
      <c r="J154" s="1"/>
      <c r="K154" s="1"/>
      <c r="L154" s="1"/>
      <c r="O154" s="1"/>
      <c r="P154" s="1"/>
    </row>
    <row r="155" spans="1:16" x14ac:dyDescent="0.35">
      <c r="A155" s="1" t="s">
        <v>77</v>
      </c>
      <c r="B155" s="1" t="s">
        <v>79</v>
      </c>
      <c r="C155" s="1" t="s">
        <v>110</v>
      </c>
      <c r="D155" s="1" t="s">
        <v>111</v>
      </c>
      <c r="E155" s="1" t="s">
        <v>501</v>
      </c>
      <c r="F155" s="1" t="s">
        <v>502</v>
      </c>
      <c r="I155" s="1"/>
      <c r="J155" s="1"/>
      <c r="K155" s="1"/>
      <c r="L155" s="1"/>
      <c r="O155" s="1"/>
      <c r="P155" s="1"/>
    </row>
    <row r="156" spans="1:16" x14ac:dyDescent="0.35">
      <c r="A156" s="1" t="s">
        <v>77</v>
      </c>
      <c r="B156" s="1" t="s">
        <v>79</v>
      </c>
      <c r="C156" s="1" t="s">
        <v>110</v>
      </c>
      <c r="D156" s="1" t="s">
        <v>111</v>
      </c>
      <c r="E156" s="1" t="s">
        <v>547</v>
      </c>
      <c r="F156" s="1" t="s">
        <v>548</v>
      </c>
      <c r="I156" s="1"/>
      <c r="J156" s="1"/>
      <c r="K156" s="1"/>
      <c r="L156" s="1"/>
      <c r="O156" s="1"/>
      <c r="P156" s="1"/>
    </row>
    <row r="157" spans="1:16" x14ac:dyDescent="0.35">
      <c r="A157" s="1" t="s">
        <v>77</v>
      </c>
      <c r="B157" s="1" t="s">
        <v>79</v>
      </c>
      <c r="C157" s="1" t="s">
        <v>110</v>
      </c>
      <c r="D157" s="1" t="s">
        <v>111</v>
      </c>
      <c r="E157" s="1" t="s">
        <v>661</v>
      </c>
      <c r="F157" s="1" t="s">
        <v>662</v>
      </c>
      <c r="I157" s="1"/>
      <c r="J157" s="1"/>
      <c r="K157" s="1"/>
      <c r="L157" s="1"/>
      <c r="O157" s="1"/>
      <c r="P157" s="1"/>
    </row>
    <row r="158" spans="1:16" x14ac:dyDescent="0.35">
      <c r="A158" s="1" t="s">
        <v>77</v>
      </c>
      <c r="B158" s="1" t="s">
        <v>79</v>
      </c>
      <c r="C158" s="1" t="s">
        <v>110</v>
      </c>
      <c r="D158" s="1" t="s">
        <v>111</v>
      </c>
      <c r="E158" s="1" t="s">
        <v>702</v>
      </c>
      <c r="F158" s="1" t="s">
        <v>703</v>
      </c>
      <c r="I158" s="1"/>
      <c r="J158" s="1"/>
      <c r="K158" s="1"/>
      <c r="L158" s="1"/>
      <c r="O158" s="1"/>
      <c r="P158" s="1"/>
    </row>
    <row r="159" spans="1:16" x14ac:dyDescent="0.35">
      <c r="A159" s="1" t="s">
        <v>77</v>
      </c>
      <c r="B159" s="1" t="s">
        <v>79</v>
      </c>
      <c r="C159" s="1" t="s">
        <v>110</v>
      </c>
      <c r="D159" s="1" t="s">
        <v>111</v>
      </c>
      <c r="E159" s="1" t="s">
        <v>1011</v>
      </c>
      <c r="F159" s="1" t="s">
        <v>1012</v>
      </c>
      <c r="I159" s="1"/>
      <c r="J159" s="1"/>
      <c r="K159" s="1"/>
      <c r="L159" s="1"/>
      <c r="O159" s="1"/>
      <c r="P159" s="1"/>
    </row>
    <row r="160" spans="1:16" x14ac:dyDescent="0.35">
      <c r="A160" s="1" t="s">
        <v>77</v>
      </c>
      <c r="B160" s="1" t="s">
        <v>79</v>
      </c>
      <c r="C160" s="1" t="s">
        <v>110</v>
      </c>
      <c r="D160" s="1" t="s">
        <v>111</v>
      </c>
      <c r="E160" s="1" t="s">
        <v>98</v>
      </c>
      <c r="F160" s="1" t="s">
        <v>1031</v>
      </c>
      <c r="I160" s="1"/>
      <c r="J160" s="1"/>
      <c r="K160" s="1"/>
      <c r="L160" s="1"/>
      <c r="O160" s="1"/>
      <c r="P160" s="1"/>
    </row>
    <row r="161" spans="1:16" x14ac:dyDescent="0.35">
      <c r="A161" s="1" t="s">
        <v>77</v>
      </c>
      <c r="B161" s="1" t="s">
        <v>79</v>
      </c>
      <c r="C161" s="1" t="s">
        <v>110</v>
      </c>
      <c r="D161" s="1" t="s">
        <v>111</v>
      </c>
      <c r="E161" s="1" t="s">
        <v>1204</v>
      </c>
      <c r="F161" s="1" t="s">
        <v>1205</v>
      </c>
      <c r="I161" s="1"/>
      <c r="J161" s="1"/>
      <c r="K161" s="1"/>
      <c r="L161" s="1"/>
      <c r="O161" s="1"/>
      <c r="P161" s="1"/>
    </row>
    <row r="162" spans="1:16" x14ac:dyDescent="0.35">
      <c r="A162" s="1" t="s">
        <v>77</v>
      </c>
      <c r="B162" s="1" t="s">
        <v>79</v>
      </c>
      <c r="C162" s="1" t="s">
        <v>110</v>
      </c>
      <c r="D162" s="1" t="s">
        <v>111</v>
      </c>
      <c r="E162" s="1" t="s">
        <v>1208</v>
      </c>
      <c r="F162" s="1" t="s">
        <v>1209</v>
      </c>
      <c r="I162" s="1"/>
      <c r="J162" s="1"/>
      <c r="K162" s="1"/>
      <c r="L162" s="1"/>
      <c r="O162" s="1"/>
      <c r="P162" s="1"/>
    </row>
    <row r="163" spans="1:16" x14ac:dyDescent="0.35">
      <c r="A163" s="1" t="s">
        <v>77</v>
      </c>
      <c r="B163" s="1" t="s">
        <v>79</v>
      </c>
      <c r="C163" s="1" t="s">
        <v>110</v>
      </c>
      <c r="D163" s="1" t="s">
        <v>111</v>
      </c>
      <c r="E163" s="1" t="s">
        <v>1231</v>
      </c>
      <c r="F163" s="1" t="s">
        <v>1232</v>
      </c>
      <c r="I163" s="1"/>
      <c r="J163" s="1"/>
      <c r="K163" s="1"/>
      <c r="L163" s="1"/>
      <c r="O163" s="1"/>
      <c r="P163" s="1"/>
    </row>
    <row r="164" spans="1:16" x14ac:dyDescent="0.35">
      <c r="A164" s="1" t="s">
        <v>77</v>
      </c>
      <c r="B164" s="1" t="s">
        <v>79</v>
      </c>
      <c r="C164" s="1" t="s">
        <v>110</v>
      </c>
      <c r="D164" s="1" t="s">
        <v>111</v>
      </c>
      <c r="E164" s="1" t="s">
        <v>1242</v>
      </c>
      <c r="F164" s="1" t="s">
        <v>1243</v>
      </c>
      <c r="I164" s="1"/>
      <c r="J164" s="1"/>
      <c r="K164" s="1"/>
      <c r="L164" s="1"/>
      <c r="O164" s="1"/>
      <c r="P164" s="1"/>
    </row>
    <row r="165" spans="1:16" x14ac:dyDescent="0.35">
      <c r="A165" s="1" t="s">
        <v>77</v>
      </c>
      <c r="B165" s="1" t="s">
        <v>79</v>
      </c>
      <c r="C165" s="1" t="s">
        <v>112</v>
      </c>
      <c r="D165" s="1" t="s">
        <v>113</v>
      </c>
      <c r="E165" s="1" t="s">
        <v>302</v>
      </c>
      <c r="F165" s="1" t="s">
        <v>303</v>
      </c>
      <c r="I165" s="1"/>
      <c r="J165" s="1"/>
      <c r="K165" s="1"/>
      <c r="L165" s="1"/>
      <c r="O165" s="1"/>
      <c r="P165" s="1"/>
    </row>
    <row r="166" spans="1:16" x14ac:dyDescent="0.35">
      <c r="A166" s="1" t="s">
        <v>77</v>
      </c>
      <c r="B166" s="1" t="s">
        <v>79</v>
      </c>
      <c r="C166" s="1" t="s">
        <v>112</v>
      </c>
      <c r="D166" s="1" t="s">
        <v>113</v>
      </c>
      <c r="E166" s="1" t="s">
        <v>409</v>
      </c>
      <c r="F166" s="1" t="s">
        <v>410</v>
      </c>
      <c r="I166" s="1"/>
      <c r="J166" s="1"/>
      <c r="K166" s="1"/>
      <c r="L166" s="1"/>
      <c r="O166" s="1"/>
      <c r="P166" s="1"/>
    </row>
    <row r="167" spans="1:16" x14ac:dyDescent="0.35">
      <c r="A167" s="1" t="s">
        <v>77</v>
      </c>
      <c r="B167" s="1" t="s">
        <v>79</v>
      </c>
      <c r="C167" s="1" t="s">
        <v>112</v>
      </c>
      <c r="D167" s="1" t="s">
        <v>113</v>
      </c>
      <c r="E167" s="1" t="s">
        <v>608</v>
      </c>
      <c r="F167" s="1" t="s">
        <v>609</v>
      </c>
      <c r="I167" s="1"/>
      <c r="J167" s="1"/>
      <c r="K167" s="1"/>
      <c r="L167" s="1"/>
      <c r="O167" s="1"/>
      <c r="P167" s="1"/>
    </row>
    <row r="168" spans="1:16" x14ac:dyDescent="0.35">
      <c r="A168" s="1" t="s">
        <v>77</v>
      </c>
      <c r="B168" s="1" t="s">
        <v>79</v>
      </c>
      <c r="C168" s="1" t="s">
        <v>112</v>
      </c>
      <c r="D168" s="1" t="s">
        <v>113</v>
      </c>
      <c r="E168" s="1" t="s">
        <v>807</v>
      </c>
      <c r="F168" s="1" t="s">
        <v>808</v>
      </c>
      <c r="I168" s="1"/>
      <c r="J168" s="1"/>
      <c r="K168" s="1"/>
      <c r="L168" s="1"/>
      <c r="O168" s="1"/>
      <c r="P168" s="1"/>
    </row>
    <row r="169" spans="1:16" x14ac:dyDescent="0.35">
      <c r="A169" s="1" t="s">
        <v>77</v>
      </c>
      <c r="B169" s="1" t="s">
        <v>79</v>
      </c>
      <c r="C169" s="1" t="s">
        <v>112</v>
      </c>
      <c r="D169" s="1" t="s">
        <v>113</v>
      </c>
      <c r="E169" s="1" t="s">
        <v>942</v>
      </c>
      <c r="F169" s="1" t="s">
        <v>943</v>
      </c>
      <c r="I169" s="1"/>
      <c r="J169" s="1"/>
      <c r="K169" s="1"/>
      <c r="L169" s="1"/>
      <c r="O169" s="1"/>
      <c r="P169" s="1"/>
    </row>
    <row r="170" spans="1:16" x14ac:dyDescent="0.35">
      <c r="A170" s="1" t="s">
        <v>77</v>
      </c>
      <c r="B170" s="1" t="s">
        <v>79</v>
      </c>
      <c r="C170" s="1" t="s">
        <v>112</v>
      </c>
      <c r="D170" s="1" t="s">
        <v>113</v>
      </c>
      <c r="E170" s="1" t="s">
        <v>1293</v>
      </c>
      <c r="F170" s="1" t="s">
        <v>1294</v>
      </c>
      <c r="I170" s="1"/>
      <c r="J170" s="1"/>
      <c r="K170" s="1"/>
      <c r="L170" s="1"/>
      <c r="O170" s="1"/>
      <c r="P170" s="1"/>
    </row>
    <row r="171" spans="1:16" x14ac:dyDescent="0.35">
      <c r="A171" s="1" t="s">
        <v>77</v>
      </c>
      <c r="B171" s="1" t="s">
        <v>79</v>
      </c>
      <c r="C171" s="1" t="s">
        <v>112</v>
      </c>
      <c r="D171" s="1" t="s">
        <v>113</v>
      </c>
      <c r="E171" s="1" t="s">
        <v>1295</v>
      </c>
      <c r="F171" s="1" t="s">
        <v>1296</v>
      </c>
      <c r="I171" s="1"/>
      <c r="J171" s="1"/>
      <c r="K171" s="1"/>
      <c r="L171" s="1"/>
      <c r="O171" s="1"/>
      <c r="P171" s="1"/>
    </row>
    <row r="172" spans="1:16" x14ac:dyDescent="0.35">
      <c r="A172" s="1" t="s">
        <v>77</v>
      </c>
      <c r="B172" s="1" t="s">
        <v>79</v>
      </c>
      <c r="C172" s="1" t="s">
        <v>112</v>
      </c>
      <c r="D172" s="1" t="s">
        <v>113</v>
      </c>
      <c r="E172" s="1" t="s">
        <v>1297</v>
      </c>
      <c r="F172" s="1" t="s">
        <v>1298</v>
      </c>
      <c r="I172" s="1"/>
      <c r="J172" s="1"/>
      <c r="K172" s="1"/>
      <c r="L172" s="1"/>
      <c r="O172" s="1"/>
      <c r="P172" s="1"/>
    </row>
    <row r="173" spans="1:16" x14ac:dyDescent="0.35">
      <c r="A173" s="1" t="s">
        <v>77</v>
      </c>
      <c r="B173" s="1" t="s">
        <v>79</v>
      </c>
      <c r="C173" s="1" t="s">
        <v>112</v>
      </c>
      <c r="D173" s="1" t="s">
        <v>113</v>
      </c>
      <c r="E173" s="1" t="s">
        <v>1342</v>
      </c>
      <c r="F173" s="1" t="s">
        <v>1343</v>
      </c>
      <c r="I173" s="1"/>
      <c r="J173" s="1"/>
      <c r="K173" s="1"/>
      <c r="L173" s="1"/>
      <c r="O173" s="1"/>
      <c r="P173" s="1"/>
    </row>
    <row r="174" spans="1:16" x14ac:dyDescent="0.35">
      <c r="A174" s="1" t="s">
        <v>77</v>
      </c>
      <c r="B174" s="1" t="s">
        <v>79</v>
      </c>
      <c r="C174" s="1" t="s">
        <v>112</v>
      </c>
      <c r="D174" s="1" t="s">
        <v>113</v>
      </c>
      <c r="E174" s="1" t="s">
        <v>1471</v>
      </c>
      <c r="F174" s="1" t="s">
        <v>1472</v>
      </c>
      <c r="I174" s="1"/>
      <c r="J174" s="1"/>
      <c r="K174" s="1"/>
      <c r="L174" s="1"/>
      <c r="O174" s="1"/>
      <c r="P174" s="1"/>
    </row>
    <row r="175" spans="1:16" x14ac:dyDescent="0.35">
      <c r="A175" s="1" t="s">
        <v>77</v>
      </c>
      <c r="B175" s="1" t="s">
        <v>79</v>
      </c>
      <c r="C175" s="1" t="s">
        <v>114</v>
      </c>
      <c r="D175" s="1" t="s">
        <v>115</v>
      </c>
      <c r="E175" s="1" t="s">
        <v>286</v>
      </c>
      <c r="F175" s="1" t="s">
        <v>287</v>
      </c>
      <c r="I175" s="1"/>
      <c r="J175" s="1"/>
      <c r="K175" s="1"/>
      <c r="L175" s="1"/>
      <c r="O175" s="1"/>
      <c r="P175" s="1"/>
    </row>
    <row r="176" spans="1:16" x14ac:dyDescent="0.35">
      <c r="A176" s="1" t="s">
        <v>77</v>
      </c>
      <c r="B176" s="1" t="s">
        <v>79</v>
      </c>
      <c r="C176" s="1" t="s">
        <v>114</v>
      </c>
      <c r="D176" s="1" t="s">
        <v>115</v>
      </c>
      <c r="E176" s="1" t="s">
        <v>345</v>
      </c>
      <c r="F176" s="1" t="s">
        <v>346</v>
      </c>
      <c r="I176" s="1"/>
      <c r="J176" s="1"/>
      <c r="K176" s="1"/>
      <c r="L176" s="1"/>
      <c r="O176" s="1"/>
      <c r="P176" s="1"/>
    </row>
    <row r="177" spans="1:16" x14ac:dyDescent="0.35">
      <c r="A177" s="1" t="s">
        <v>77</v>
      </c>
      <c r="B177" s="1" t="s">
        <v>79</v>
      </c>
      <c r="C177" s="1" t="s">
        <v>114</v>
      </c>
      <c r="D177" s="1" t="s">
        <v>115</v>
      </c>
      <c r="E177" s="1" t="s">
        <v>734</v>
      </c>
      <c r="F177" s="1" t="s">
        <v>735</v>
      </c>
      <c r="I177" s="1"/>
      <c r="J177" s="1"/>
      <c r="K177" s="1"/>
      <c r="L177" s="1"/>
      <c r="O177" s="1"/>
      <c r="P177" s="1"/>
    </row>
    <row r="178" spans="1:16" x14ac:dyDescent="0.35">
      <c r="A178" s="1" t="s">
        <v>77</v>
      </c>
      <c r="B178" s="1" t="s">
        <v>79</v>
      </c>
      <c r="C178" s="1" t="s">
        <v>114</v>
      </c>
      <c r="D178" s="1" t="s">
        <v>115</v>
      </c>
      <c r="E178" s="1" t="s">
        <v>773</v>
      </c>
      <c r="F178" s="1" t="s">
        <v>774</v>
      </c>
      <c r="I178" s="1"/>
      <c r="J178" s="1"/>
      <c r="K178" s="1"/>
      <c r="L178" s="1"/>
      <c r="O178" s="1"/>
      <c r="P178" s="1"/>
    </row>
    <row r="179" spans="1:16" x14ac:dyDescent="0.35">
      <c r="A179" s="1" t="s">
        <v>77</v>
      </c>
      <c r="B179" s="1" t="s">
        <v>79</v>
      </c>
      <c r="C179" s="1" t="s">
        <v>114</v>
      </c>
      <c r="D179" s="1" t="s">
        <v>115</v>
      </c>
      <c r="E179" s="1" t="s">
        <v>862</v>
      </c>
      <c r="F179" s="1" t="s">
        <v>863</v>
      </c>
      <c r="I179" s="1"/>
      <c r="J179" s="1"/>
      <c r="K179" s="1"/>
      <c r="L179" s="1"/>
      <c r="O179" s="1"/>
      <c r="P179" s="1"/>
    </row>
    <row r="180" spans="1:16" x14ac:dyDescent="0.35">
      <c r="A180" s="1" t="s">
        <v>77</v>
      </c>
      <c r="B180" s="1" t="s">
        <v>79</v>
      </c>
      <c r="C180" s="1" t="s">
        <v>114</v>
      </c>
      <c r="D180" s="1" t="s">
        <v>115</v>
      </c>
      <c r="E180" s="1" t="s">
        <v>916</v>
      </c>
      <c r="F180" s="1" t="s">
        <v>917</v>
      </c>
      <c r="I180" s="1"/>
      <c r="J180" s="1"/>
      <c r="K180" s="1"/>
      <c r="L180" s="1"/>
      <c r="O180" s="1"/>
      <c r="P180" s="1"/>
    </row>
    <row r="181" spans="1:16" x14ac:dyDescent="0.35">
      <c r="A181" s="1" t="s">
        <v>77</v>
      </c>
      <c r="B181" s="1" t="s">
        <v>79</v>
      </c>
      <c r="C181" s="1" t="s">
        <v>114</v>
      </c>
      <c r="D181" s="1" t="s">
        <v>115</v>
      </c>
      <c r="E181" s="1" t="s">
        <v>936</v>
      </c>
      <c r="F181" s="1" t="s">
        <v>937</v>
      </c>
      <c r="I181" s="1"/>
      <c r="J181" s="1"/>
      <c r="K181" s="1"/>
      <c r="L181" s="1"/>
      <c r="O181" s="1"/>
      <c r="P181" s="1"/>
    </row>
    <row r="182" spans="1:16" x14ac:dyDescent="0.35">
      <c r="A182" s="1" t="s">
        <v>77</v>
      </c>
      <c r="B182" s="1" t="s">
        <v>79</v>
      </c>
      <c r="C182" s="1" t="s">
        <v>114</v>
      </c>
      <c r="D182" s="1" t="s">
        <v>115</v>
      </c>
      <c r="E182" s="1" t="s">
        <v>1048</v>
      </c>
      <c r="F182" s="1" t="s">
        <v>1049</v>
      </c>
      <c r="I182" s="1"/>
      <c r="J182" s="1"/>
      <c r="K182" s="1"/>
      <c r="L182" s="1"/>
      <c r="O182" s="1"/>
      <c r="P182" s="1"/>
    </row>
    <row r="183" spans="1:16" x14ac:dyDescent="0.35">
      <c r="A183" s="1" t="s">
        <v>77</v>
      </c>
      <c r="B183" s="1" t="s">
        <v>79</v>
      </c>
      <c r="C183" s="1" t="s">
        <v>114</v>
      </c>
      <c r="D183" s="1" t="s">
        <v>115</v>
      </c>
      <c r="E183" s="1" t="s">
        <v>114</v>
      </c>
      <c r="F183" s="1" t="s">
        <v>1368</v>
      </c>
      <c r="I183" s="1"/>
      <c r="J183" s="1"/>
      <c r="K183" s="1"/>
      <c r="L183" s="1"/>
      <c r="O183" s="1"/>
      <c r="P183" s="1"/>
    </row>
    <row r="184" spans="1:16" x14ac:dyDescent="0.35">
      <c r="A184" s="1" t="s">
        <v>77</v>
      </c>
      <c r="B184" s="1" t="s">
        <v>79</v>
      </c>
      <c r="C184" s="1" t="s">
        <v>114</v>
      </c>
      <c r="D184" s="1" t="s">
        <v>115</v>
      </c>
      <c r="E184" s="1" t="s">
        <v>1411</v>
      </c>
      <c r="F184" s="1" t="s">
        <v>1412</v>
      </c>
      <c r="I184" s="1"/>
      <c r="J184" s="1"/>
      <c r="K184" s="1"/>
      <c r="L184" s="1"/>
      <c r="O184" s="1"/>
      <c r="P184" s="1"/>
    </row>
    <row r="185" spans="1:16" x14ac:dyDescent="0.35">
      <c r="A185" s="1" t="s">
        <v>77</v>
      </c>
      <c r="B185" s="1" t="s">
        <v>79</v>
      </c>
      <c r="C185" s="1" t="s">
        <v>116</v>
      </c>
      <c r="D185" s="1" t="s">
        <v>117</v>
      </c>
      <c r="E185" s="1" t="s">
        <v>503</v>
      </c>
      <c r="F185" s="1" t="s">
        <v>504</v>
      </c>
      <c r="I185" s="1"/>
      <c r="J185" s="1"/>
      <c r="K185" s="1"/>
      <c r="L185" s="1"/>
      <c r="O185" s="1"/>
      <c r="P185" s="1"/>
    </row>
    <row r="186" spans="1:16" x14ac:dyDescent="0.35">
      <c r="A186" s="1" t="s">
        <v>77</v>
      </c>
      <c r="B186" s="1" t="s">
        <v>79</v>
      </c>
      <c r="C186" s="1" t="s">
        <v>116</v>
      </c>
      <c r="D186" s="1" t="s">
        <v>117</v>
      </c>
      <c r="E186" s="1" t="s">
        <v>541</v>
      </c>
      <c r="F186" s="1" t="s">
        <v>542</v>
      </c>
      <c r="I186" s="1"/>
      <c r="J186" s="1"/>
      <c r="K186" s="1"/>
      <c r="L186" s="1"/>
      <c r="O186" s="1"/>
      <c r="P186" s="1"/>
    </row>
    <row r="187" spans="1:16" x14ac:dyDescent="0.35">
      <c r="A187" s="1" t="s">
        <v>77</v>
      </c>
      <c r="B187" s="1" t="s">
        <v>79</v>
      </c>
      <c r="C187" s="1" t="s">
        <v>116</v>
      </c>
      <c r="D187" s="1" t="s">
        <v>117</v>
      </c>
      <c r="E187" s="1" t="s">
        <v>706</v>
      </c>
      <c r="F187" s="1" t="s">
        <v>707</v>
      </c>
      <c r="I187" s="1"/>
      <c r="J187" s="1"/>
      <c r="K187" s="1"/>
      <c r="L187" s="1"/>
      <c r="O187" s="1"/>
      <c r="P187" s="1"/>
    </row>
    <row r="188" spans="1:16" x14ac:dyDescent="0.35">
      <c r="A188" s="1" t="s">
        <v>77</v>
      </c>
      <c r="B188" s="1" t="s">
        <v>79</v>
      </c>
      <c r="C188" s="1" t="s">
        <v>116</v>
      </c>
      <c r="D188" s="1" t="s">
        <v>117</v>
      </c>
      <c r="E188" s="1" t="s">
        <v>922</v>
      </c>
      <c r="F188" s="1" t="s">
        <v>923</v>
      </c>
      <c r="I188" s="1"/>
      <c r="J188" s="1"/>
      <c r="K188" s="1"/>
      <c r="L188" s="1"/>
      <c r="O188" s="1"/>
      <c r="P188" s="1"/>
    </row>
    <row r="189" spans="1:16" x14ac:dyDescent="0.35">
      <c r="A189" s="1" t="s">
        <v>77</v>
      </c>
      <c r="B189" s="1" t="s">
        <v>79</v>
      </c>
      <c r="C189" s="1" t="s">
        <v>116</v>
      </c>
      <c r="D189" s="1" t="s">
        <v>117</v>
      </c>
      <c r="E189" s="1" t="s">
        <v>924</v>
      </c>
      <c r="F189" s="1" t="s">
        <v>925</v>
      </c>
      <c r="I189" s="1"/>
      <c r="J189" s="1"/>
      <c r="K189" s="1"/>
      <c r="L189" s="1"/>
      <c r="O189" s="1"/>
      <c r="P189" s="1"/>
    </row>
    <row r="190" spans="1:16" x14ac:dyDescent="0.35">
      <c r="A190" s="1" t="s">
        <v>77</v>
      </c>
      <c r="B190" s="1" t="s">
        <v>79</v>
      </c>
      <c r="C190" s="1" t="s">
        <v>116</v>
      </c>
      <c r="D190" s="1" t="s">
        <v>117</v>
      </c>
      <c r="E190" s="1" t="s">
        <v>1377</v>
      </c>
      <c r="F190" s="1" t="s">
        <v>1378</v>
      </c>
      <c r="I190" s="1"/>
      <c r="J190" s="1"/>
      <c r="K190" s="1"/>
      <c r="L190" s="1"/>
      <c r="O190" s="1"/>
      <c r="P190" s="1"/>
    </row>
    <row r="191" spans="1:16" x14ac:dyDescent="0.35">
      <c r="A191" s="1" t="s">
        <v>77</v>
      </c>
      <c r="B191" s="1" t="s">
        <v>79</v>
      </c>
      <c r="C191" s="1" t="s">
        <v>116</v>
      </c>
      <c r="D191" s="1" t="s">
        <v>117</v>
      </c>
      <c r="E191" s="1" t="s">
        <v>1381</v>
      </c>
      <c r="F191" s="1" t="s">
        <v>1382</v>
      </c>
      <c r="I191" s="1"/>
      <c r="J191" s="1"/>
      <c r="K191" s="1"/>
      <c r="L191" s="1"/>
      <c r="O191" s="1"/>
      <c r="P191" s="1"/>
    </row>
    <row r="192" spans="1:16" x14ac:dyDescent="0.35">
      <c r="A192" s="1" t="s">
        <v>77</v>
      </c>
      <c r="B192" s="1" t="s">
        <v>79</v>
      </c>
      <c r="C192" s="1" t="s">
        <v>116</v>
      </c>
      <c r="D192" s="1" t="s">
        <v>117</v>
      </c>
      <c r="E192" s="1" t="s">
        <v>1383</v>
      </c>
      <c r="F192" s="1" t="s">
        <v>1384</v>
      </c>
      <c r="I192" s="1"/>
      <c r="J192" s="1"/>
      <c r="K192" s="1"/>
      <c r="L192" s="1"/>
      <c r="O192" s="1"/>
      <c r="P192" s="1"/>
    </row>
    <row r="193" spans="1:16" x14ac:dyDescent="0.35">
      <c r="A193" s="1" t="s">
        <v>77</v>
      </c>
      <c r="B193" s="1" t="s">
        <v>79</v>
      </c>
      <c r="C193" s="1" t="s">
        <v>116</v>
      </c>
      <c r="D193" s="1" t="s">
        <v>117</v>
      </c>
      <c r="E193" s="1" t="s">
        <v>1395</v>
      </c>
      <c r="F193" s="1" t="s">
        <v>1396</v>
      </c>
      <c r="I193" s="1"/>
      <c r="J193" s="1"/>
      <c r="K193" s="1"/>
      <c r="L193" s="1"/>
      <c r="O193" s="1"/>
      <c r="P193" s="1"/>
    </row>
    <row r="194" spans="1:16" x14ac:dyDescent="0.35">
      <c r="A194" s="1" t="s">
        <v>77</v>
      </c>
      <c r="B194" s="1" t="s">
        <v>79</v>
      </c>
      <c r="C194" s="1" t="s">
        <v>116</v>
      </c>
      <c r="D194" s="1" t="s">
        <v>117</v>
      </c>
      <c r="E194" s="1" t="s">
        <v>1489</v>
      </c>
      <c r="F194" s="1" t="s">
        <v>1490</v>
      </c>
      <c r="I194" s="1"/>
      <c r="J194" s="1"/>
      <c r="K194" s="1"/>
      <c r="L194" s="1"/>
      <c r="O194" s="1"/>
      <c r="P194" s="1"/>
    </row>
    <row r="195" spans="1:16" x14ac:dyDescent="0.35">
      <c r="A195" s="1" t="s">
        <v>77</v>
      </c>
      <c r="B195" s="1" t="s">
        <v>79</v>
      </c>
      <c r="C195" s="1" t="s">
        <v>116</v>
      </c>
      <c r="D195" s="1" t="s">
        <v>117</v>
      </c>
      <c r="E195" s="1" t="s">
        <v>1591</v>
      </c>
      <c r="F195" s="1" t="s">
        <v>1592</v>
      </c>
      <c r="I195" s="1"/>
      <c r="J195" s="1"/>
      <c r="K195" s="1"/>
      <c r="L195" s="1"/>
      <c r="O195" s="1"/>
      <c r="P195" s="1"/>
    </row>
    <row r="196" spans="1:16" x14ac:dyDescent="0.35">
      <c r="A196" s="1" t="s">
        <v>77</v>
      </c>
      <c r="B196" s="1" t="s">
        <v>79</v>
      </c>
      <c r="C196" s="1" t="s">
        <v>118</v>
      </c>
      <c r="D196" s="1" t="s">
        <v>119</v>
      </c>
      <c r="E196" s="1" t="s">
        <v>479</v>
      </c>
      <c r="F196" s="1" t="s">
        <v>480</v>
      </c>
      <c r="I196" s="1"/>
      <c r="J196" s="1"/>
      <c r="K196" s="1"/>
      <c r="L196" s="1"/>
      <c r="O196" s="1"/>
      <c r="P196" s="1"/>
    </row>
    <row r="197" spans="1:16" x14ac:dyDescent="0.35">
      <c r="A197" s="1" t="s">
        <v>77</v>
      </c>
      <c r="B197" s="1" t="s">
        <v>79</v>
      </c>
      <c r="C197" s="1" t="s">
        <v>118</v>
      </c>
      <c r="D197" s="1" t="s">
        <v>119</v>
      </c>
      <c r="E197" s="1" t="s">
        <v>481</v>
      </c>
      <c r="F197" s="1" t="s">
        <v>482</v>
      </c>
      <c r="I197" s="1"/>
      <c r="J197" s="1"/>
      <c r="K197" s="1"/>
      <c r="L197" s="1"/>
      <c r="O197" s="1"/>
      <c r="P197" s="1"/>
    </row>
    <row r="198" spans="1:16" x14ac:dyDescent="0.35">
      <c r="A198" s="1" t="s">
        <v>77</v>
      </c>
      <c r="B198" s="1" t="s">
        <v>79</v>
      </c>
      <c r="C198" s="1" t="s">
        <v>118</v>
      </c>
      <c r="D198" s="1" t="s">
        <v>119</v>
      </c>
      <c r="E198" s="1" t="s">
        <v>730</v>
      </c>
      <c r="F198" s="1" t="s">
        <v>731</v>
      </c>
      <c r="I198" s="1"/>
      <c r="J198" s="1"/>
      <c r="K198" s="1"/>
      <c r="L198" s="1"/>
      <c r="O198" s="1"/>
      <c r="P198" s="1"/>
    </row>
    <row r="199" spans="1:16" x14ac:dyDescent="0.35">
      <c r="A199" s="1" t="s">
        <v>77</v>
      </c>
      <c r="B199" s="1" t="s">
        <v>79</v>
      </c>
      <c r="C199" s="1" t="s">
        <v>118</v>
      </c>
      <c r="D199" s="1" t="s">
        <v>119</v>
      </c>
      <c r="E199" s="1" t="s">
        <v>938</v>
      </c>
      <c r="F199" s="1" t="s">
        <v>939</v>
      </c>
      <c r="I199" s="1"/>
      <c r="J199" s="1"/>
      <c r="K199" s="1"/>
      <c r="L199" s="1"/>
      <c r="O199" s="1"/>
      <c r="P199" s="1"/>
    </row>
    <row r="200" spans="1:16" x14ac:dyDescent="0.35">
      <c r="A200" s="1" t="s">
        <v>77</v>
      </c>
      <c r="B200" s="1" t="s">
        <v>79</v>
      </c>
      <c r="C200" s="1" t="s">
        <v>118</v>
      </c>
      <c r="D200" s="1" t="s">
        <v>119</v>
      </c>
      <c r="E200" s="1" t="s">
        <v>940</v>
      </c>
      <c r="F200" s="1" t="s">
        <v>941</v>
      </c>
      <c r="I200" s="1"/>
      <c r="J200" s="1"/>
      <c r="K200" s="1"/>
      <c r="L200" s="1"/>
      <c r="O200" s="1"/>
      <c r="P200" s="1"/>
    </row>
    <row r="201" spans="1:16" x14ac:dyDescent="0.35">
      <c r="A201" s="1" t="s">
        <v>77</v>
      </c>
      <c r="B201" s="1" t="s">
        <v>79</v>
      </c>
      <c r="C201" s="1" t="s">
        <v>118</v>
      </c>
      <c r="D201" s="1" t="s">
        <v>119</v>
      </c>
      <c r="E201" s="1" t="s">
        <v>944</v>
      </c>
      <c r="F201" s="1" t="s">
        <v>945</v>
      </c>
      <c r="I201" s="1"/>
      <c r="J201" s="1"/>
      <c r="K201" s="1"/>
      <c r="L201" s="1"/>
      <c r="O201" s="1"/>
      <c r="P201" s="1"/>
    </row>
    <row r="202" spans="1:16" x14ac:dyDescent="0.35">
      <c r="A202" s="1" t="s">
        <v>77</v>
      </c>
      <c r="B202" s="1" t="s">
        <v>79</v>
      </c>
      <c r="C202" s="1" t="s">
        <v>118</v>
      </c>
      <c r="D202" s="1" t="s">
        <v>119</v>
      </c>
      <c r="E202" s="1" t="s">
        <v>946</v>
      </c>
      <c r="F202" s="1" t="s">
        <v>947</v>
      </c>
      <c r="I202" s="1"/>
      <c r="J202" s="1"/>
      <c r="K202" s="1"/>
      <c r="L202" s="1"/>
      <c r="O202" s="1"/>
      <c r="P202" s="1"/>
    </row>
    <row r="203" spans="1:16" x14ac:dyDescent="0.35">
      <c r="A203" s="1" t="s">
        <v>77</v>
      </c>
      <c r="B203" s="1" t="s">
        <v>79</v>
      </c>
      <c r="C203" s="1" t="s">
        <v>118</v>
      </c>
      <c r="D203" s="1" t="s">
        <v>119</v>
      </c>
      <c r="E203" s="1" t="s">
        <v>1440</v>
      </c>
      <c r="F203" s="1" t="s">
        <v>1441</v>
      </c>
      <c r="I203" s="1"/>
      <c r="J203" s="1"/>
      <c r="K203" s="1"/>
      <c r="L203" s="1"/>
      <c r="O203" s="1"/>
      <c r="P203" s="1"/>
    </row>
    <row r="204" spans="1:16" x14ac:dyDescent="0.35">
      <c r="A204" s="1" t="s">
        <v>77</v>
      </c>
      <c r="B204" s="1" t="s">
        <v>79</v>
      </c>
      <c r="C204" s="1" t="s">
        <v>118</v>
      </c>
      <c r="D204" s="1" t="s">
        <v>119</v>
      </c>
      <c r="E204" s="1" t="s">
        <v>1442</v>
      </c>
      <c r="F204" s="1" t="s">
        <v>1443</v>
      </c>
      <c r="I204" s="1"/>
      <c r="J204" s="1"/>
      <c r="K204" s="1"/>
      <c r="L204" s="1"/>
      <c r="O204" s="1"/>
      <c r="P204" s="1"/>
    </row>
    <row r="205" spans="1:16" x14ac:dyDescent="0.35">
      <c r="A205" s="1" t="s">
        <v>77</v>
      </c>
      <c r="B205" s="1" t="s">
        <v>79</v>
      </c>
      <c r="C205" s="1" t="s">
        <v>118</v>
      </c>
      <c r="D205" s="1" t="s">
        <v>119</v>
      </c>
      <c r="E205" s="1" t="s">
        <v>1444</v>
      </c>
      <c r="F205" s="1" t="s">
        <v>1445</v>
      </c>
      <c r="I205" s="1"/>
      <c r="J205" s="1"/>
      <c r="K205" s="1"/>
      <c r="L205" s="1"/>
      <c r="O205" s="1"/>
      <c r="P205" s="1"/>
    </row>
    <row r="206" spans="1:16" x14ac:dyDescent="0.35">
      <c r="A206" s="1" t="s">
        <v>77</v>
      </c>
      <c r="B206" s="1" t="s">
        <v>79</v>
      </c>
      <c r="C206" s="1" t="s">
        <v>120</v>
      </c>
      <c r="D206" s="1" t="s">
        <v>121</v>
      </c>
      <c r="E206" s="1" t="s">
        <v>231</v>
      </c>
      <c r="F206" s="1" t="s">
        <v>232</v>
      </c>
      <c r="I206" s="1"/>
      <c r="J206" s="1"/>
      <c r="K206" s="1"/>
      <c r="L206" s="1"/>
      <c r="O206" s="1"/>
      <c r="P206" s="1"/>
    </row>
    <row r="207" spans="1:16" x14ac:dyDescent="0.35">
      <c r="A207" s="1" t="s">
        <v>77</v>
      </c>
      <c r="B207" s="1" t="s">
        <v>79</v>
      </c>
      <c r="C207" s="1" t="s">
        <v>120</v>
      </c>
      <c r="D207" s="1" t="s">
        <v>121</v>
      </c>
      <c r="E207" s="1" t="s">
        <v>242</v>
      </c>
      <c r="F207" s="1" t="s">
        <v>243</v>
      </c>
      <c r="I207" s="1"/>
      <c r="J207" s="1"/>
      <c r="K207" s="1"/>
      <c r="L207" s="1"/>
      <c r="O207" s="1"/>
      <c r="P207" s="1"/>
    </row>
    <row r="208" spans="1:16" x14ac:dyDescent="0.35">
      <c r="A208" s="1" t="s">
        <v>77</v>
      </c>
      <c r="B208" s="1" t="s">
        <v>79</v>
      </c>
      <c r="C208" s="1" t="s">
        <v>120</v>
      </c>
      <c r="D208" s="1" t="s">
        <v>121</v>
      </c>
      <c r="E208" s="1" t="s">
        <v>523</v>
      </c>
      <c r="F208" s="1" t="s">
        <v>524</v>
      </c>
      <c r="I208" s="1"/>
      <c r="J208" s="1"/>
      <c r="K208" s="1"/>
      <c r="L208" s="1"/>
      <c r="O208" s="1"/>
      <c r="P208" s="1"/>
    </row>
    <row r="209" spans="1:16" x14ac:dyDescent="0.35">
      <c r="A209" s="1" t="s">
        <v>77</v>
      </c>
      <c r="B209" s="1" t="s">
        <v>79</v>
      </c>
      <c r="C209" s="1" t="s">
        <v>120</v>
      </c>
      <c r="D209" s="1" t="s">
        <v>121</v>
      </c>
      <c r="E209" s="1" t="s">
        <v>757</v>
      </c>
      <c r="F209" s="1" t="s">
        <v>758</v>
      </c>
      <c r="I209" s="1"/>
      <c r="J209" s="1"/>
      <c r="K209" s="1"/>
      <c r="L209" s="1"/>
      <c r="O209" s="1"/>
      <c r="P209" s="1"/>
    </row>
    <row r="210" spans="1:16" x14ac:dyDescent="0.35">
      <c r="A210" s="1" t="s">
        <v>77</v>
      </c>
      <c r="B210" s="1" t="s">
        <v>79</v>
      </c>
      <c r="C210" s="1" t="s">
        <v>120</v>
      </c>
      <c r="D210" s="1" t="s">
        <v>121</v>
      </c>
      <c r="E210" s="1" t="s">
        <v>828</v>
      </c>
      <c r="F210" s="1" t="s">
        <v>829</v>
      </c>
      <c r="I210" s="1"/>
      <c r="J210" s="1"/>
      <c r="K210" s="1"/>
      <c r="L210" s="1"/>
      <c r="O210" s="1"/>
      <c r="P210" s="1"/>
    </row>
    <row r="211" spans="1:16" x14ac:dyDescent="0.35">
      <c r="A211" s="1" t="s">
        <v>77</v>
      </c>
      <c r="B211" s="1" t="s">
        <v>79</v>
      </c>
      <c r="C211" s="1" t="s">
        <v>120</v>
      </c>
      <c r="D211" s="1" t="s">
        <v>121</v>
      </c>
      <c r="E211" s="1" t="s">
        <v>896</v>
      </c>
      <c r="F211" s="1" t="s">
        <v>897</v>
      </c>
      <c r="I211" s="1"/>
      <c r="J211" s="1"/>
      <c r="K211" s="1"/>
      <c r="L211" s="1"/>
      <c r="O211" s="1"/>
      <c r="P211" s="1"/>
    </row>
    <row r="212" spans="1:16" x14ac:dyDescent="0.35">
      <c r="A212" s="1" t="s">
        <v>77</v>
      </c>
      <c r="B212" s="1" t="s">
        <v>79</v>
      </c>
      <c r="C212" s="1" t="s">
        <v>120</v>
      </c>
      <c r="D212" s="1" t="s">
        <v>121</v>
      </c>
      <c r="E212" s="1" t="s">
        <v>1056</v>
      </c>
      <c r="F212" s="1" t="s">
        <v>1057</v>
      </c>
      <c r="I212" s="1"/>
      <c r="J212" s="1"/>
      <c r="K212" s="1"/>
      <c r="L212" s="1"/>
      <c r="O212" s="1"/>
      <c r="P212" s="1"/>
    </row>
    <row r="213" spans="1:16" x14ac:dyDescent="0.35">
      <c r="A213" s="1" t="s">
        <v>77</v>
      </c>
      <c r="B213" s="1" t="s">
        <v>79</v>
      </c>
      <c r="C213" s="1" t="s">
        <v>120</v>
      </c>
      <c r="D213" s="1" t="s">
        <v>121</v>
      </c>
      <c r="E213" s="1" t="s">
        <v>1066</v>
      </c>
      <c r="F213" s="1" t="s">
        <v>1067</v>
      </c>
      <c r="I213" s="1"/>
      <c r="J213" s="1"/>
      <c r="K213" s="1"/>
      <c r="L213" s="1"/>
      <c r="O213" s="1"/>
      <c r="P213" s="1"/>
    </row>
    <row r="214" spans="1:16" x14ac:dyDescent="0.35">
      <c r="A214" s="1" t="s">
        <v>77</v>
      </c>
      <c r="B214" s="1" t="s">
        <v>79</v>
      </c>
      <c r="C214" s="1" t="s">
        <v>120</v>
      </c>
      <c r="D214" s="1" t="s">
        <v>121</v>
      </c>
      <c r="E214" s="1" t="s">
        <v>1231</v>
      </c>
      <c r="F214" s="1" t="s">
        <v>1233</v>
      </c>
      <c r="I214" s="1"/>
      <c r="J214" s="1"/>
      <c r="K214" s="1"/>
      <c r="L214" s="1"/>
      <c r="O214" s="1"/>
      <c r="P214" s="1"/>
    </row>
    <row r="215" spans="1:16" x14ac:dyDescent="0.35">
      <c r="A215" s="1" t="s">
        <v>77</v>
      </c>
      <c r="B215" s="1" t="s">
        <v>79</v>
      </c>
      <c r="C215" s="1" t="s">
        <v>120</v>
      </c>
      <c r="D215" s="1" t="s">
        <v>121</v>
      </c>
      <c r="E215" s="1" t="s">
        <v>1334</v>
      </c>
      <c r="F215" s="1" t="s">
        <v>1335</v>
      </c>
      <c r="I215" s="1"/>
      <c r="J215" s="1"/>
      <c r="K215" s="1"/>
      <c r="L215" s="1"/>
      <c r="O215" s="1"/>
      <c r="P215" s="1"/>
    </row>
    <row r="216" spans="1:16" x14ac:dyDescent="0.35">
      <c r="A216" s="1" t="s">
        <v>77</v>
      </c>
      <c r="B216" s="1" t="s">
        <v>79</v>
      </c>
      <c r="C216" s="1" t="s">
        <v>120</v>
      </c>
      <c r="D216" s="1" t="s">
        <v>121</v>
      </c>
      <c r="E216" s="1" t="s">
        <v>1547</v>
      </c>
      <c r="F216" s="1" t="s">
        <v>1549</v>
      </c>
      <c r="I216" s="1"/>
      <c r="J216" s="1"/>
      <c r="K216" s="1"/>
      <c r="L216" s="1"/>
      <c r="O216" s="1"/>
      <c r="P216" s="1"/>
    </row>
    <row r="217" spans="1:16" x14ac:dyDescent="0.35">
      <c r="A217" s="1" t="s">
        <v>77</v>
      </c>
      <c r="B217" s="1" t="s">
        <v>79</v>
      </c>
      <c r="C217" s="1" t="s">
        <v>122</v>
      </c>
      <c r="D217" s="1" t="s">
        <v>123</v>
      </c>
      <c r="E217" s="1" t="s">
        <v>216</v>
      </c>
      <c r="F217" s="1" t="s">
        <v>217</v>
      </c>
      <c r="I217" s="1"/>
      <c r="J217" s="1"/>
      <c r="K217" s="1"/>
      <c r="L217" s="1"/>
      <c r="O217" s="1"/>
      <c r="P217" s="1"/>
    </row>
    <row r="218" spans="1:16" x14ac:dyDescent="0.35">
      <c r="A218" s="1" t="s">
        <v>77</v>
      </c>
      <c r="B218" s="1" t="s">
        <v>79</v>
      </c>
      <c r="C218" s="1" t="s">
        <v>122</v>
      </c>
      <c r="D218" s="1" t="s">
        <v>123</v>
      </c>
      <c r="E218" s="1" t="s">
        <v>284</v>
      </c>
      <c r="F218" s="1" t="s">
        <v>285</v>
      </c>
      <c r="I218" s="1"/>
      <c r="J218" s="1"/>
      <c r="K218" s="1"/>
      <c r="L218" s="1"/>
      <c r="O218" s="1"/>
      <c r="P218" s="1"/>
    </row>
    <row r="219" spans="1:16" x14ac:dyDescent="0.35">
      <c r="A219" s="1" t="s">
        <v>77</v>
      </c>
      <c r="B219" s="1" t="s">
        <v>79</v>
      </c>
      <c r="C219" s="1" t="s">
        <v>122</v>
      </c>
      <c r="D219" s="1" t="s">
        <v>123</v>
      </c>
      <c r="E219" s="1" t="s">
        <v>355</v>
      </c>
      <c r="F219" s="1" t="s">
        <v>356</v>
      </c>
      <c r="I219" s="1"/>
      <c r="J219" s="1"/>
      <c r="K219" s="1"/>
      <c r="L219" s="1"/>
      <c r="O219" s="1"/>
      <c r="P219" s="1"/>
    </row>
    <row r="220" spans="1:16" x14ac:dyDescent="0.35">
      <c r="A220" s="1" t="s">
        <v>77</v>
      </c>
      <c r="B220" s="1" t="s">
        <v>79</v>
      </c>
      <c r="C220" s="1" t="s">
        <v>122</v>
      </c>
      <c r="D220" s="1" t="s">
        <v>123</v>
      </c>
      <c r="E220" s="1" t="s">
        <v>1108</v>
      </c>
      <c r="F220" s="1" t="s">
        <v>1109</v>
      </c>
      <c r="I220" s="1"/>
      <c r="J220" s="1"/>
      <c r="K220" s="1"/>
      <c r="L220" s="1"/>
      <c r="O220" s="1"/>
      <c r="P220" s="1"/>
    </row>
    <row r="221" spans="1:16" x14ac:dyDescent="0.35">
      <c r="A221" s="1" t="s">
        <v>77</v>
      </c>
      <c r="B221" s="1" t="s">
        <v>79</v>
      </c>
      <c r="C221" s="1" t="s">
        <v>122</v>
      </c>
      <c r="D221" s="1" t="s">
        <v>123</v>
      </c>
      <c r="E221" s="1" t="s">
        <v>1110</v>
      </c>
      <c r="F221" s="1" t="s">
        <v>1111</v>
      </c>
      <c r="I221" s="1"/>
      <c r="J221" s="1"/>
      <c r="K221" s="1"/>
      <c r="L221" s="1"/>
      <c r="O221" s="1"/>
      <c r="P221" s="1"/>
    </row>
    <row r="222" spans="1:16" x14ac:dyDescent="0.35">
      <c r="A222" s="1" t="s">
        <v>77</v>
      </c>
      <c r="B222" s="1" t="s">
        <v>79</v>
      </c>
      <c r="C222" s="1" t="s">
        <v>122</v>
      </c>
      <c r="D222" s="1" t="s">
        <v>123</v>
      </c>
      <c r="E222" s="1" t="s">
        <v>1163</v>
      </c>
      <c r="F222" s="1" t="s">
        <v>1164</v>
      </c>
      <c r="I222" s="1"/>
      <c r="J222" s="1"/>
      <c r="K222" s="1"/>
      <c r="L222" s="1"/>
      <c r="O222" s="1"/>
      <c r="P222" s="1"/>
    </row>
    <row r="223" spans="1:16" x14ac:dyDescent="0.35">
      <c r="A223" s="1" t="s">
        <v>77</v>
      </c>
      <c r="B223" s="1" t="s">
        <v>79</v>
      </c>
      <c r="C223" s="1" t="s">
        <v>122</v>
      </c>
      <c r="D223" s="1" t="s">
        <v>123</v>
      </c>
      <c r="E223" s="1" t="s">
        <v>1165</v>
      </c>
      <c r="F223" s="1" t="s">
        <v>1166</v>
      </c>
      <c r="I223" s="1"/>
      <c r="J223" s="1"/>
      <c r="K223" s="1"/>
      <c r="L223" s="1"/>
      <c r="O223" s="1"/>
      <c r="P223" s="1"/>
    </row>
    <row r="224" spans="1:16" x14ac:dyDescent="0.35">
      <c r="A224" s="1" t="s">
        <v>77</v>
      </c>
      <c r="B224" s="1" t="s">
        <v>79</v>
      </c>
      <c r="C224" s="1" t="s">
        <v>122</v>
      </c>
      <c r="D224" s="1" t="s">
        <v>123</v>
      </c>
      <c r="E224" s="1" t="s">
        <v>1228</v>
      </c>
      <c r="F224" s="1" t="s">
        <v>1229</v>
      </c>
      <c r="I224" s="1"/>
      <c r="J224" s="1"/>
      <c r="K224" s="1"/>
      <c r="L224" s="1"/>
      <c r="O224" s="1"/>
      <c r="P224" s="1"/>
    </row>
    <row r="225" spans="1:16" x14ac:dyDescent="0.35">
      <c r="A225" s="1" t="s">
        <v>77</v>
      </c>
      <c r="B225" s="1" t="s">
        <v>79</v>
      </c>
      <c r="C225" s="1" t="s">
        <v>122</v>
      </c>
      <c r="D225" s="1" t="s">
        <v>123</v>
      </c>
      <c r="E225" s="1" t="s">
        <v>1281</v>
      </c>
      <c r="F225" s="1" t="s">
        <v>1282</v>
      </c>
      <c r="I225" s="1"/>
      <c r="J225" s="1"/>
      <c r="K225" s="1"/>
      <c r="L225" s="1"/>
      <c r="O225" s="1"/>
      <c r="P225" s="1"/>
    </row>
    <row r="226" spans="1:16" x14ac:dyDescent="0.35">
      <c r="A226" s="1" t="s">
        <v>77</v>
      </c>
      <c r="B226" s="1" t="s">
        <v>79</v>
      </c>
      <c r="C226" s="1" t="s">
        <v>122</v>
      </c>
      <c r="D226" s="1" t="s">
        <v>123</v>
      </c>
      <c r="E226" s="1" t="s">
        <v>118</v>
      </c>
      <c r="F226" s="1" t="s">
        <v>1439</v>
      </c>
      <c r="I226" s="1"/>
      <c r="J226" s="1"/>
      <c r="K226" s="1"/>
      <c r="L226" s="1"/>
      <c r="O226" s="1"/>
      <c r="P226" s="1"/>
    </row>
    <row r="227" spans="1:16" x14ac:dyDescent="0.35">
      <c r="A227" s="1" t="s">
        <v>77</v>
      </c>
      <c r="B227" s="1" t="s">
        <v>79</v>
      </c>
      <c r="C227" s="1" t="s">
        <v>122</v>
      </c>
      <c r="D227" s="1" t="s">
        <v>123</v>
      </c>
      <c r="E227" s="1" t="s">
        <v>1558</v>
      </c>
      <c r="F227" s="1" t="s">
        <v>1559</v>
      </c>
      <c r="I227" s="1"/>
      <c r="J227" s="1"/>
      <c r="K227" s="1"/>
      <c r="L227" s="1"/>
      <c r="O227" s="1"/>
      <c r="P227" s="1"/>
    </row>
    <row r="228" spans="1:16" x14ac:dyDescent="0.35">
      <c r="A228" s="1" t="s">
        <v>76</v>
      </c>
      <c r="B228" s="1" t="s">
        <v>80</v>
      </c>
      <c r="C228" s="1" t="s">
        <v>124</v>
      </c>
      <c r="D228" s="1" t="s">
        <v>125</v>
      </c>
      <c r="E228" s="1" t="s">
        <v>252</v>
      </c>
      <c r="F228" s="1" t="s">
        <v>253</v>
      </c>
      <c r="I228" s="1"/>
      <c r="J228" s="1"/>
      <c r="K228" s="1"/>
      <c r="L228" s="1"/>
      <c r="O228" s="1"/>
      <c r="P228" s="1"/>
    </row>
    <row r="229" spans="1:16" x14ac:dyDescent="0.35">
      <c r="A229" s="1" t="s">
        <v>76</v>
      </c>
      <c r="B229" s="1" t="s">
        <v>80</v>
      </c>
      <c r="C229" s="1" t="s">
        <v>124</v>
      </c>
      <c r="D229" s="1" t="s">
        <v>125</v>
      </c>
      <c r="E229" s="1" t="s">
        <v>298</v>
      </c>
      <c r="F229" s="1" t="s">
        <v>299</v>
      </c>
      <c r="I229" s="1"/>
      <c r="J229" s="1"/>
      <c r="K229" s="1"/>
      <c r="L229" s="1"/>
      <c r="O229" s="1"/>
      <c r="P229" s="1"/>
    </row>
    <row r="230" spans="1:16" x14ac:dyDescent="0.35">
      <c r="A230" s="1" t="s">
        <v>76</v>
      </c>
      <c r="B230" s="1" t="s">
        <v>80</v>
      </c>
      <c r="C230" s="1" t="s">
        <v>124</v>
      </c>
      <c r="D230" s="1" t="s">
        <v>125</v>
      </c>
      <c r="E230" s="1" t="s">
        <v>407</v>
      </c>
      <c r="F230" s="1" t="s">
        <v>408</v>
      </c>
      <c r="I230" s="1"/>
      <c r="J230" s="1"/>
      <c r="K230" s="1"/>
      <c r="L230" s="1"/>
      <c r="O230" s="1"/>
      <c r="P230" s="1"/>
    </row>
    <row r="231" spans="1:16" x14ac:dyDescent="0.35">
      <c r="A231" s="1" t="s">
        <v>76</v>
      </c>
      <c r="B231" s="1" t="s">
        <v>80</v>
      </c>
      <c r="C231" s="1" t="s">
        <v>124</v>
      </c>
      <c r="D231" s="1" t="s">
        <v>125</v>
      </c>
      <c r="E231" s="1" t="s">
        <v>569</v>
      </c>
      <c r="F231" s="1" t="s">
        <v>570</v>
      </c>
      <c r="I231" s="1"/>
      <c r="J231" s="1"/>
      <c r="K231" s="1"/>
      <c r="L231" s="1"/>
      <c r="O231" s="1"/>
      <c r="P231" s="1"/>
    </row>
    <row r="232" spans="1:16" x14ac:dyDescent="0.35">
      <c r="A232" s="1" t="s">
        <v>76</v>
      </c>
      <c r="B232" s="1" t="s">
        <v>80</v>
      </c>
      <c r="C232" s="1" t="s">
        <v>124</v>
      </c>
      <c r="D232" s="1" t="s">
        <v>125</v>
      </c>
      <c r="E232" s="1" t="s">
        <v>811</v>
      </c>
      <c r="F232" s="1" t="s">
        <v>812</v>
      </c>
      <c r="I232" s="1"/>
      <c r="J232" s="1"/>
      <c r="K232" s="1"/>
      <c r="L232" s="1"/>
      <c r="O232" s="1"/>
      <c r="P232" s="1"/>
    </row>
    <row r="233" spans="1:16" x14ac:dyDescent="0.35">
      <c r="A233" s="1" t="s">
        <v>76</v>
      </c>
      <c r="B233" s="1" t="s">
        <v>80</v>
      </c>
      <c r="C233" s="1" t="s">
        <v>124</v>
      </c>
      <c r="D233" s="1" t="s">
        <v>125</v>
      </c>
      <c r="E233" s="1" t="s">
        <v>914</v>
      </c>
      <c r="F233" s="1" t="s">
        <v>915</v>
      </c>
      <c r="I233" s="1"/>
      <c r="J233" s="1"/>
      <c r="K233" s="1"/>
      <c r="L233" s="1"/>
      <c r="O233" s="1"/>
      <c r="P233" s="1"/>
    </row>
    <row r="234" spans="1:16" x14ac:dyDescent="0.35">
      <c r="A234" s="1" t="s">
        <v>76</v>
      </c>
      <c r="B234" s="1" t="s">
        <v>80</v>
      </c>
      <c r="C234" s="1" t="s">
        <v>124</v>
      </c>
      <c r="D234" s="1" t="s">
        <v>125</v>
      </c>
      <c r="E234" s="1" t="s">
        <v>981</v>
      </c>
      <c r="F234" s="1" t="s">
        <v>982</v>
      </c>
      <c r="I234" s="1"/>
      <c r="J234" s="1"/>
      <c r="K234" s="1"/>
      <c r="L234" s="1"/>
      <c r="O234" s="1"/>
      <c r="P234" s="1"/>
    </row>
    <row r="235" spans="1:16" x14ac:dyDescent="0.35">
      <c r="A235" s="1" t="s">
        <v>76</v>
      </c>
      <c r="B235" s="1" t="s">
        <v>80</v>
      </c>
      <c r="C235" s="1" t="s">
        <v>124</v>
      </c>
      <c r="D235" s="1" t="s">
        <v>125</v>
      </c>
      <c r="E235" s="1" t="s">
        <v>1535</v>
      </c>
      <c r="F235" s="1" t="s">
        <v>1536</v>
      </c>
      <c r="I235" s="1"/>
      <c r="J235" s="1"/>
      <c r="K235" s="1"/>
      <c r="L235" s="1"/>
      <c r="O235" s="1"/>
      <c r="P235" s="1"/>
    </row>
    <row r="236" spans="1:16" x14ac:dyDescent="0.35">
      <c r="A236" s="1" t="s">
        <v>76</v>
      </c>
      <c r="B236" s="1" t="s">
        <v>80</v>
      </c>
      <c r="C236" s="1" t="s">
        <v>124</v>
      </c>
      <c r="D236" s="1" t="s">
        <v>125</v>
      </c>
      <c r="E236" s="1" t="s">
        <v>1537</v>
      </c>
      <c r="F236" s="1" t="s">
        <v>1538</v>
      </c>
      <c r="I236" s="1"/>
      <c r="J236" s="1"/>
      <c r="K236" s="1"/>
      <c r="L236" s="1"/>
      <c r="O236" s="1"/>
      <c r="P236" s="1"/>
    </row>
    <row r="237" spans="1:16" x14ac:dyDescent="0.35">
      <c r="A237" s="1" t="s">
        <v>76</v>
      </c>
      <c r="B237" s="1" t="s">
        <v>80</v>
      </c>
      <c r="C237" s="1" t="s">
        <v>124</v>
      </c>
      <c r="D237" s="1" t="s">
        <v>125</v>
      </c>
      <c r="E237" s="1" t="s">
        <v>1554</v>
      </c>
      <c r="F237" s="1" t="s">
        <v>1555</v>
      </c>
      <c r="I237" s="1"/>
      <c r="J237" s="1"/>
      <c r="K237" s="1"/>
      <c r="L237" s="1"/>
      <c r="O237" s="1"/>
      <c r="P237" s="1"/>
    </row>
    <row r="238" spans="1:16" x14ac:dyDescent="0.35">
      <c r="A238" s="1" t="s">
        <v>76</v>
      </c>
      <c r="B238" s="1" t="s">
        <v>80</v>
      </c>
      <c r="C238" s="1" t="s">
        <v>126</v>
      </c>
      <c r="D238" s="1" t="s">
        <v>127</v>
      </c>
      <c r="E238" s="1" t="s">
        <v>262</v>
      </c>
      <c r="F238" s="1" t="s">
        <v>263</v>
      </c>
      <c r="I238" s="1"/>
      <c r="J238" s="1"/>
      <c r="K238" s="1"/>
      <c r="L238" s="1"/>
      <c r="O238" s="1"/>
      <c r="P238" s="1"/>
    </row>
    <row r="239" spans="1:16" x14ac:dyDescent="0.35">
      <c r="A239" s="1" t="s">
        <v>76</v>
      </c>
      <c r="B239" s="1" t="s">
        <v>80</v>
      </c>
      <c r="C239" s="1" t="s">
        <v>126</v>
      </c>
      <c r="D239" s="1" t="s">
        <v>127</v>
      </c>
      <c r="E239" s="1" t="s">
        <v>497</v>
      </c>
      <c r="F239" s="1" t="s">
        <v>498</v>
      </c>
      <c r="I239" s="1"/>
      <c r="J239" s="1"/>
      <c r="K239" s="1"/>
      <c r="L239" s="1"/>
      <c r="O239" s="1"/>
      <c r="P239" s="1"/>
    </row>
    <row r="240" spans="1:16" x14ac:dyDescent="0.35">
      <c r="A240" s="1" t="s">
        <v>76</v>
      </c>
      <c r="B240" s="1" t="s">
        <v>80</v>
      </c>
      <c r="C240" s="1" t="s">
        <v>126</v>
      </c>
      <c r="D240" s="1" t="s">
        <v>127</v>
      </c>
      <c r="E240" s="1" t="s">
        <v>788</v>
      </c>
      <c r="F240" s="1" t="s">
        <v>789</v>
      </c>
      <c r="I240" s="1"/>
      <c r="J240" s="1"/>
      <c r="K240" s="1"/>
      <c r="L240" s="1"/>
      <c r="O240" s="1"/>
      <c r="P240" s="1"/>
    </row>
    <row r="241" spans="1:16" x14ac:dyDescent="0.35">
      <c r="A241" s="1" t="s">
        <v>76</v>
      </c>
      <c r="B241" s="1" t="s">
        <v>80</v>
      </c>
      <c r="C241" s="1" t="s">
        <v>126</v>
      </c>
      <c r="D241" s="1" t="s">
        <v>127</v>
      </c>
      <c r="E241" s="1" t="s">
        <v>790</v>
      </c>
      <c r="F241" s="1" t="s">
        <v>791</v>
      </c>
      <c r="I241" s="1"/>
      <c r="J241" s="1"/>
      <c r="K241" s="1"/>
      <c r="L241" s="1"/>
      <c r="O241" s="1"/>
      <c r="P241" s="1"/>
    </row>
    <row r="242" spans="1:16" x14ac:dyDescent="0.35">
      <c r="A242" s="1" t="s">
        <v>76</v>
      </c>
      <c r="B242" s="1" t="s">
        <v>80</v>
      </c>
      <c r="C242" s="1" t="s">
        <v>126</v>
      </c>
      <c r="D242" s="1" t="s">
        <v>127</v>
      </c>
      <c r="E242" s="1" t="s">
        <v>1036</v>
      </c>
      <c r="F242" s="1" t="s">
        <v>1037</v>
      </c>
      <c r="I242" s="1"/>
      <c r="J242" s="1"/>
      <c r="K242" s="1"/>
      <c r="L242" s="1"/>
      <c r="O242" s="1"/>
      <c r="P242" s="1"/>
    </row>
    <row r="243" spans="1:16" x14ac:dyDescent="0.35">
      <c r="A243" s="1" t="s">
        <v>76</v>
      </c>
      <c r="B243" s="1" t="s">
        <v>80</v>
      </c>
      <c r="C243" s="1" t="s">
        <v>126</v>
      </c>
      <c r="D243" s="1" t="s">
        <v>127</v>
      </c>
      <c r="E243" s="1" t="s">
        <v>1220</v>
      </c>
      <c r="F243" s="1" t="s">
        <v>1221</v>
      </c>
      <c r="I243" s="1"/>
      <c r="J243" s="1"/>
      <c r="K243" s="1"/>
      <c r="L243" s="1"/>
      <c r="O243" s="1"/>
      <c r="P243" s="1"/>
    </row>
    <row r="244" spans="1:16" x14ac:dyDescent="0.35">
      <c r="A244" s="1" t="s">
        <v>76</v>
      </c>
      <c r="B244" s="1" t="s">
        <v>80</v>
      </c>
      <c r="C244" s="1" t="s">
        <v>126</v>
      </c>
      <c r="D244" s="1" t="s">
        <v>127</v>
      </c>
      <c r="E244" s="1" t="s">
        <v>1265</v>
      </c>
      <c r="F244" s="1" t="s">
        <v>1266</v>
      </c>
      <c r="I244" s="1"/>
      <c r="J244" s="1"/>
      <c r="K244" s="1"/>
      <c r="L244" s="1"/>
      <c r="O244" s="1"/>
      <c r="P244" s="1"/>
    </row>
    <row r="245" spans="1:16" x14ac:dyDescent="0.35">
      <c r="A245" s="1" t="s">
        <v>76</v>
      </c>
      <c r="B245" s="1" t="s">
        <v>80</v>
      </c>
      <c r="C245" s="1" t="s">
        <v>126</v>
      </c>
      <c r="D245" s="1" t="s">
        <v>127</v>
      </c>
      <c r="E245" s="1" t="s">
        <v>1275</v>
      </c>
      <c r="F245" s="1" t="s">
        <v>1276</v>
      </c>
      <c r="I245" s="1"/>
      <c r="J245" s="1"/>
      <c r="K245" s="1"/>
      <c r="L245" s="1"/>
      <c r="O245" s="1"/>
      <c r="P245" s="1"/>
    </row>
    <row r="246" spans="1:16" x14ac:dyDescent="0.35">
      <c r="A246" s="1" t="s">
        <v>76</v>
      </c>
      <c r="B246" s="1" t="s">
        <v>80</v>
      </c>
      <c r="C246" s="1" t="s">
        <v>126</v>
      </c>
      <c r="D246" s="1" t="s">
        <v>127</v>
      </c>
      <c r="E246" s="1" t="s">
        <v>1283</v>
      </c>
      <c r="F246" s="1" t="s">
        <v>1284</v>
      </c>
      <c r="I246" s="1"/>
      <c r="J246" s="1"/>
      <c r="K246" s="1"/>
      <c r="L246" s="1"/>
      <c r="O246" s="1"/>
      <c r="P246" s="1"/>
    </row>
    <row r="247" spans="1:16" x14ac:dyDescent="0.35">
      <c r="A247" s="1" t="s">
        <v>76</v>
      </c>
      <c r="B247" s="1" t="s">
        <v>80</v>
      </c>
      <c r="C247" s="1" t="s">
        <v>126</v>
      </c>
      <c r="D247" s="1" t="s">
        <v>127</v>
      </c>
      <c r="E247" s="1" t="s">
        <v>1336</v>
      </c>
      <c r="F247" s="1" t="s">
        <v>1337</v>
      </c>
      <c r="I247" s="1"/>
      <c r="J247" s="1"/>
      <c r="K247" s="1"/>
      <c r="L247" s="1"/>
      <c r="O247" s="1"/>
      <c r="P247" s="1"/>
    </row>
    <row r="248" spans="1:16" x14ac:dyDescent="0.35">
      <c r="A248" s="1" t="s">
        <v>76</v>
      </c>
      <c r="B248" s="1" t="s">
        <v>80</v>
      </c>
      <c r="C248" s="1" t="s">
        <v>126</v>
      </c>
      <c r="D248" s="1" t="s">
        <v>127</v>
      </c>
      <c r="E248" s="1" t="s">
        <v>1458</v>
      </c>
      <c r="F248" s="1" t="s">
        <v>1460</v>
      </c>
      <c r="I248" s="1"/>
      <c r="J248" s="1"/>
      <c r="K248" s="1"/>
      <c r="L248" s="1"/>
      <c r="O248" s="1"/>
      <c r="P248" s="1"/>
    </row>
    <row r="249" spans="1:16" x14ac:dyDescent="0.35">
      <c r="A249" s="1" t="s">
        <v>76</v>
      </c>
      <c r="B249" s="1" t="s">
        <v>80</v>
      </c>
      <c r="C249" s="1" t="s">
        <v>126</v>
      </c>
      <c r="D249" s="1" t="s">
        <v>127</v>
      </c>
      <c r="E249" s="1" t="s">
        <v>1465</v>
      </c>
      <c r="F249" s="1" t="s">
        <v>1466</v>
      </c>
      <c r="I249" s="1"/>
      <c r="J249" s="1"/>
      <c r="K249" s="1"/>
      <c r="L249" s="1"/>
      <c r="O249" s="1"/>
      <c r="P249" s="1"/>
    </row>
    <row r="250" spans="1:16" x14ac:dyDescent="0.35">
      <c r="A250" s="1" t="s">
        <v>76</v>
      </c>
      <c r="B250" s="1" t="s">
        <v>80</v>
      </c>
      <c r="C250" s="1" t="s">
        <v>126</v>
      </c>
      <c r="D250" s="1" t="s">
        <v>127</v>
      </c>
      <c r="E250" s="1" t="s">
        <v>1493</v>
      </c>
      <c r="F250" s="1" t="s">
        <v>1494</v>
      </c>
      <c r="I250" s="1"/>
      <c r="J250" s="1"/>
      <c r="K250" s="1"/>
      <c r="L250" s="1"/>
      <c r="O250" s="1"/>
      <c r="P250" s="1"/>
    </row>
    <row r="251" spans="1:16" x14ac:dyDescent="0.35">
      <c r="A251" s="1" t="s">
        <v>76</v>
      </c>
      <c r="B251" s="1" t="s">
        <v>80</v>
      </c>
      <c r="C251" s="1" t="s">
        <v>128</v>
      </c>
      <c r="D251" s="1" t="s">
        <v>129</v>
      </c>
      <c r="E251" s="1" t="s">
        <v>214</v>
      </c>
      <c r="F251" s="1" t="s">
        <v>215</v>
      </c>
      <c r="I251" s="1"/>
      <c r="J251" s="1"/>
      <c r="K251" s="1"/>
      <c r="L251" s="1"/>
      <c r="O251" s="1"/>
      <c r="P251" s="1"/>
    </row>
    <row r="252" spans="1:16" x14ac:dyDescent="0.35">
      <c r="A252" s="1" t="s">
        <v>76</v>
      </c>
      <c r="B252" s="1" t="s">
        <v>80</v>
      </c>
      <c r="C252" s="1" t="s">
        <v>128</v>
      </c>
      <c r="D252" s="1" t="s">
        <v>129</v>
      </c>
      <c r="E252" s="1" t="s">
        <v>244</v>
      </c>
      <c r="F252" s="1" t="s">
        <v>245</v>
      </c>
      <c r="I252" s="1"/>
      <c r="J252" s="1"/>
      <c r="K252" s="1"/>
      <c r="L252" s="1"/>
      <c r="O252" s="1"/>
      <c r="P252" s="1"/>
    </row>
    <row r="253" spans="1:16" x14ac:dyDescent="0.35">
      <c r="A253" s="1" t="s">
        <v>76</v>
      </c>
      <c r="B253" s="1" t="s">
        <v>80</v>
      </c>
      <c r="C253" s="1" t="s">
        <v>128</v>
      </c>
      <c r="D253" s="1" t="s">
        <v>129</v>
      </c>
      <c r="E253" s="1" t="s">
        <v>246</v>
      </c>
      <c r="F253" s="1" t="s">
        <v>247</v>
      </c>
      <c r="I253" s="1"/>
      <c r="J253" s="1"/>
      <c r="K253" s="1"/>
      <c r="L253" s="1"/>
      <c r="O253" s="1"/>
      <c r="P253" s="1"/>
    </row>
    <row r="254" spans="1:16" x14ac:dyDescent="0.35">
      <c r="A254" s="1" t="s">
        <v>76</v>
      </c>
      <c r="B254" s="1" t="s">
        <v>80</v>
      </c>
      <c r="C254" s="1" t="s">
        <v>128</v>
      </c>
      <c r="D254" s="1" t="s">
        <v>129</v>
      </c>
      <c r="E254" s="1" t="s">
        <v>296</v>
      </c>
      <c r="F254" s="1" t="s">
        <v>297</v>
      </c>
      <c r="I254" s="1"/>
      <c r="J254" s="1"/>
      <c r="K254" s="1"/>
      <c r="L254" s="1"/>
      <c r="O254" s="1"/>
      <c r="P254" s="1"/>
    </row>
    <row r="255" spans="1:16" x14ac:dyDescent="0.35">
      <c r="A255" s="1" t="s">
        <v>76</v>
      </c>
      <c r="B255" s="1" t="s">
        <v>80</v>
      </c>
      <c r="C255" s="1" t="s">
        <v>128</v>
      </c>
      <c r="D255" s="1" t="s">
        <v>129</v>
      </c>
      <c r="E255" s="1" t="s">
        <v>351</v>
      </c>
      <c r="F255" s="1" t="s">
        <v>352</v>
      </c>
      <c r="I255" s="1"/>
      <c r="J255" s="1"/>
      <c r="K255" s="1"/>
      <c r="L255" s="1"/>
      <c r="O255" s="1"/>
      <c r="P255" s="1"/>
    </row>
    <row r="256" spans="1:16" x14ac:dyDescent="0.35">
      <c r="A256" s="1" t="s">
        <v>76</v>
      </c>
      <c r="B256" s="1" t="s">
        <v>80</v>
      </c>
      <c r="C256" s="1" t="s">
        <v>128</v>
      </c>
      <c r="D256" s="1" t="s">
        <v>129</v>
      </c>
      <c r="E256" s="1" t="s">
        <v>469</v>
      </c>
      <c r="F256" s="1" t="s">
        <v>470</v>
      </c>
      <c r="I256" s="1"/>
      <c r="J256" s="1"/>
      <c r="K256" s="1"/>
      <c r="L256" s="1"/>
      <c r="O256" s="1"/>
      <c r="P256" s="1"/>
    </row>
    <row r="257" spans="1:16" x14ac:dyDescent="0.35">
      <c r="A257" s="1" t="s">
        <v>76</v>
      </c>
      <c r="B257" s="1" t="s">
        <v>80</v>
      </c>
      <c r="C257" s="1" t="s">
        <v>128</v>
      </c>
      <c r="D257" s="1" t="s">
        <v>129</v>
      </c>
      <c r="E257" s="1" t="s">
        <v>683</v>
      </c>
      <c r="F257" s="1" t="s">
        <v>684</v>
      </c>
      <c r="I257" s="1"/>
      <c r="J257" s="1"/>
      <c r="K257" s="1"/>
      <c r="L257" s="1"/>
      <c r="O257" s="1"/>
      <c r="P257" s="1"/>
    </row>
    <row r="258" spans="1:16" x14ac:dyDescent="0.35">
      <c r="A258" s="1" t="s">
        <v>76</v>
      </c>
      <c r="B258" s="1" t="s">
        <v>80</v>
      </c>
      <c r="C258" s="1" t="s">
        <v>128</v>
      </c>
      <c r="D258" s="1" t="s">
        <v>129</v>
      </c>
      <c r="E258" s="1" t="s">
        <v>720</v>
      </c>
      <c r="F258" s="1" t="s">
        <v>721</v>
      </c>
      <c r="I258" s="1"/>
      <c r="J258" s="1"/>
      <c r="K258" s="1"/>
      <c r="L258" s="1"/>
      <c r="O258" s="1"/>
      <c r="P258" s="1"/>
    </row>
    <row r="259" spans="1:16" x14ac:dyDescent="0.35">
      <c r="A259" s="1" t="s">
        <v>76</v>
      </c>
      <c r="B259" s="1" t="s">
        <v>80</v>
      </c>
      <c r="C259" s="1" t="s">
        <v>128</v>
      </c>
      <c r="D259" s="1" t="s">
        <v>129</v>
      </c>
      <c r="E259" s="1" t="s">
        <v>900</v>
      </c>
      <c r="F259" s="1" t="s">
        <v>901</v>
      </c>
      <c r="I259" s="1"/>
      <c r="J259" s="1"/>
      <c r="K259" s="1"/>
      <c r="L259" s="1"/>
      <c r="O259" s="1"/>
      <c r="P259" s="1"/>
    </row>
    <row r="260" spans="1:16" x14ac:dyDescent="0.35">
      <c r="A260" s="1" t="s">
        <v>76</v>
      </c>
      <c r="B260" s="1" t="s">
        <v>80</v>
      </c>
      <c r="C260" s="1" t="s">
        <v>128</v>
      </c>
      <c r="D260" s="1" t="s">
        <v>129</v>
      </c>
      <c r="E260" s="1" t="s">
        <v>996</v>
      </c>
      <c r="F260" s="1" t="s">
        <v>997</v>
      </c>
      <c r="I260" s="1"/>
      <c r="J260" s="1"/>
      <c r="K260" s="1"/>
      <c r="L260" s="1"/>
      <c r="O260" s="1"/>
      <c r="P260" s="1"/>
    </row>
    <row r="261" spans="1:16" x14ac:dyDescent="0.35">
      <c r="A261" s="1" t="s">
        <v>76</v>
      </c>
      <c r="B261" s="1" t="s">
        <v>80</v>
      </c>
      <c r="C261" s="1" t="s">
        <v>128</v>
      </c>
      <c r="D261" s="1" t="s">
        <v>129</v>
      </c>
      <c r="E261" s="1" t="s">
        <v>1359</v>
      </c>
      <c r="F261" s="1" t="s">
        <v>1360</v>
      </c>
      <c r="I261" s="1"/>
      <c r="J261" s="1"/>
      <c r="K261" s="1"/>
      <c r="L261" s="1"/>
      <c r="O261" s="1"/>
      <c r="P261" s="1"/>
    </row>
    <row r="262" spans="1:16" x14ac:dyDescent="0.35">
      <c r="A262" s="1" t="s">
        <v>76</v>
      </c>
      <c r="B262" s="1" t="s">
        <v>80</v>
      </c>
      <c r="C262" s="1" t="s">
        <v>128</v>
      </c>
      <c r="D262" s="1" t="s">
        <v>129</v>
      </c>
      <c r="E262" s="1" t="s">
        <v>1389</v>
      </c>
      <c r="F262" s="1" t="s">
        <v>1390</v>
      </c>
      <c r="I262" s="1"/>
      <c r="J262" s="1"/>
      <c r="K262" s="1"/>
      <c r="L262" s="1"/>
      <c r="O262" s="1"/>
      <c r="P262" s="1"/>
    </row>
    <row r="263" spans="1:16" x14ac:dyDescent="0.35">
      <c r="A263" s="1" t="s">
        <v>76</v>
      </c>
      <c r="B263" s="1" t="s">
        <v>80</v>
      </c>
      <c r="C263" s="1" t="s">
        <v>128</v>
      </c>
      <c r="D263" s="1" t="s">
        <v>129</v>
      </c>
      <c r="E263" s="1" t="s">
        <v>1525</v>
      </c>
      <c r="F263" s="1" t="s">
        <v>1526</v>
      </c>
      <c r="I263" s="1"/>
      <c r="J263" s="1"/>
      <c r="K263" s="1"/>
      <c r="L263" s="1"/>
      <c r="O263" s="1"/>
      <c r="P263" s="1"/>
    </row>
    <row r="264" spans="1:16" x14ac:dyDescent="0.35">
      <c r="A264" s="1" t="s">
        <v>76</v>
      </c>
      <c r="B264" s="1" t="s">
        <v>80</v>
      </c>
      <c r="C264" s="1" t="s">
        <v>128</v>
      </c>
      <c r="D264" s="1" t="s">
        <v>129</v>
      </c>
      <c r="E264" s="1" t="s">
        <v>1569</v>
      </c>
      <c r="F264" s="1" t="s">
        <v>1570</v>
      </c>
      <c r="I264" s="1"/>
      <c r="J264" s="1"/>
      <c r="K264" s="1"/>
      <c r="L264" s="1"/>
      <c r="O264" s="1"/>
      <c r="P264" s="1"/>
    </row>
    <row r="265" spans="1:16" x14ac:dyDescent="0.35">
      <c r="A265" s="1" t="s">
        <v>76</v>
      </c>
      <c r="B265" s="1" t="s">
        <v>80</v>
      </c>
      <c r="C265" s="1" t="s">
        <v>130</v>
      </c>
      <c r="D265" s="1" t="s">
        <v>131</v>
      </c>
      <c r="E265" s="1" t="s">
        <v>288</v>
      </c>
      <c r="F265" s="1" t="s">
        <v>289</v>
      </c>
      <c r="I265" s="1"/>
      <c r="J265" s="1"/>
      <c r="K265" s="1"/>
      <c r="L265" s="1"/>
      <c r="O265" s="1"/>
      <c r="P265" s="1"/>
    </row>
    <row r="266" spans="1:16" x14ac:dyDescent="0.35">
      <c r="A266" s="1" t="s">
        <v>76</v>
      </c>
      <c r="B266" s="1" t="s">
        <v>80</v>
      </c>
      <c r="C266" s="1" t="s">
        <v>130</v>
      </c>
      <c r="D266" s="1" t="s">
        <v>131</v>
      </c>
      <c r="E266" s="1" t="s">
        <v>377</v>
      </c>
      <c r="F266" s="1" t="s">
        <v>378</v>
      </c>
      <c r="I266" s="1"/>
      <c r="J266" s="1"/>
      <c r="K266" s="1"/>
      <c r="L266" s="1"/>
      <c r="O266" s="1"/>
      <c r="P266" s="1"/>
    </row>
    <row r="267" spans="1:16" x14ac:dyDescent="0.35">
      <c r="A267" s="1" t="s">
        <v>76</v>
      </c>
      <c r="B267" s="1" t="s">
        <v>80</v>
      </c>
      <c r="C267" s="1" t="s">
        <v>130</v>
      </c>
      <c r="D267" s="1" t="s">
        <v>131</v>
      </c>
      <c r="E267" s="1" t="s">
        <v>567</v>
      </c>
      <c r="F267" s="1" t="s">
        <v>568</v>
      </c>
      <c r="I267" s="1"/>
      <c r="J267" s="1"/>
      <c r="K267" s="1"/>
      <c r="L267" s="1"/>
      <c r="O267" s="1"/>
      <c r="P267" s="1"/>
    </row>
    <row r="268" spans="1:16" x14ac:dyDescent="0.35">
      <c r="A268" s="1" t="s">
        <v>76</v>
      </c>
      <c r="B268" s="1" t="s">
        <v>80</v>
      </c>
      <c r="C268" s="1" t="s">
        <v>130</v>
      </c>
      <c r="D268" s="1" t="s">
        <v>131</v>
      </c>
      <c r="E268" s="1" t="s">
        <v>606</v>
      </c>
      <c r="F268" s="1" t="s">
        <v>607</v>
      </c>
      <c r="I268" s="1"/>
      <c r="J268" s="1"/>
      <c r="K268" s="1"/>
      <c r="L268" s="1"/>
      <c r="O268" s="1"/>
      <c r="P268" s="1"/>
    </row>
    <row r="269" spans="1:16" x14ac:dyDescent="0.35">
      <c r="A269" s="1" t="s">
        <v>76</v>
      </c>
      <c r="B269" s="1" t="s">
        <v>80</v>
      </c>
      <c r="C269" s="1" t="s">
        <v>130</v>
      </c>
      <c r="D269" s="1" t="s">
        <v>131</v>
      </c>
      <c r="E269" s="1" t="s">
        <v>832</v>
      </c>
      <c r="F269" s="1" t="s">
        <v>833</v>
      </c>
      <c r="I269" s="1"/>
      <c r="J269" s="1"/>
      <c r="K269" s="1"/>
      <c r="L269" s="1"/>
      <c r="O269" s="1"/>
      <c r="P269" s="1"/>
    </row>
    <row r="270" spans="1:16" x14ac:dyDescent="0.35">
      <c r="A270" s="1" t="s">
        <v>76</v>
      </c>
      <c r="B270" s="1" t="s">
        <v>80</v>
      </c>
      <c r="C270" s="1" t="s">
        <v>130</v>
      </c>
      <c r="D270" s="1" t="s">
        <v>131</v>
      </c>
      <c r="E270" s="1" t="s">
        <v>834</v>
      </c>
      <c r="F270" s="1" t="s">
        <v>835</v>
      </c>
      <c r="I270" s="1"/>
      <c r="J270" s="1"/>
      <c r="K270" s="1"/>
      <c r="L270" s="1"/>
      <c r="O270" s="1"/>
      <c r="P270" s="1"/>
    </row>
    <row r="271" spans="1:16" x14ac:dyDescent="0.35">
      <c r="A271" s="1" t="s">
        <v>76</v>
      </c>
      <c r="B271" s="1" t="s">
        <v>80</v>
      </c>
      <c r="C271" s="1" t="s">
        <v>130</v>
      </c>
      <c r="D271" s="1" t="s">
        <v>131</v>
      </c>
      <c r="E271" s="1" t="s">
        <v>1052</v>
      </c>
      <c r="F271" s="1" t="s">
        <v>1053</v>
      </c>
      <c r="I271" s="1"/>
      <c r="J271" s="1"/>
      <c r="K271" s="1"/>
      <c r="L271" s="1"/>
      <c r="O271" s="1"/>
      <c r="P271" s="1"/>
    </row>
    <row r="272" spans="1:16" x14ac:dyDescent="0.35">
      <c r="A272" s="1" t="s">
        <v>76</v>
      </c>
      <c r="B272" s="1" t="s">
        <v>80</v>
      </c>
      <c r="C272" s="1" t="s">
        <v>130</v>
      </c>
      <c r="D272" s="1" t="s">
        <v>131</v>
      </c>
      <c r="E272" s="1" t="s">
        <v>1421</v>
      </c>
      <c r="F272" s="1" t="s">
        <v>1422</v>
      </c>
      <c r="I272" s="1"/>
      <c r="J272" s="1"/>
      <c r="K272" s="1"/>
      <c r="L272" s="1"/>
      <c r="O272" s="1"/>
      <c r="P272" s="1"/>
    </row>
    <row r="273" spans="1:16" x14ac:dyDescent="0.35">
      <c r="A273" s="1" t="s">
        <v>76</v>
      </c>
      <c r="B273" s="1" t="s">
        <v>80</v>
      </c>
      <c r="C273" s="1" t="s">
        <v>130</v>
      </c>
      <c r="D273" s="1" t="s">
        <v>131</v>
      </c>
      <c r="E273" s="1" t="s">
        <v>1521</v>
      </c>
      <c r="F273" s="1" t="s">
        <v>1522</v>
      </c>
      <c r="I273" s="1"/>
      <c r="J273" s="1"/>
      <c r="K273" s="1"/>
      <c r="L273" s="1"/>
      <c r="O273" s="1"/>
      <c r="P273" s="1"/>
    </row>
    <row r="274" spans="1:16" x14ac:dyDescent="0.35">
      <c r="A274" s="1" t="s">
        <v>76</v>
      </c>
      <c r="B274" s="1" t="s">
        <v>80</v>
      </c>
      <c r="C274" s="1" t="s">
        <v>130</v>
      </c>
      <c r="D274" s="1" t="s">
        <v>131</v>
      </c>
      <c r="E274" s="1" t="s">
        <v>1579</v>
      </c>
      <c r="F274" s="1" t="s">
        <v>1580</v>
      </c>
      <c r="I274" s="1"/>
      <c r="J274" s="1"/>
      <c r="K274" s="1"/>
      <c r="L274" s="1"/>
      <c r="O274" s="1"/>
      <c r="P274" s="1"/>
    </row>
    <row r="275" spans="1:16" x14ac:dyDescent="0.35">
      <c r="A275" s="1" t="s">
        <v>76</v>
      </c>
      <c r="B275" s="1" t="s">
        <v>80</v>
      </c>
      <c r="C275" s="1" t="s">
        <v>132</v>
      </c>
      <c r="D275" s="1" t="s">
        <v>133</v>
      </c>
      <c r="E275" s="1" t="s">
        <v>405</v>
      </c>
      <c r="F275" s="1" t="s">
        <v>406</v>
      </c>
      <c r="I275" s="1"/>
      <c r="J275" s="1"/>
      <c r="K275" s="1"/>
      <c r="L275" s="1"/>
      <c r="O275" s="1"/>
      <c r="P275" s="1"/>
    </row>
    <row r="276" spans="1:16" x14ac:dyDescent="0.35">
      <c r="A276" s="1" t="s">
        <v>76</v>
      </c>
      <c r="B276" s="1" t="s">
        <v>80</v>
      </c>
      <c r="C276" s="1" t="s">
        <v>132</v>
      </c>
      <c r="D276" s="1" t="s">
        <v>133</v>
      </c>
      <c r="E276" s="1" t="s">
        <v>529</v>
      </c>
      <c r="F276" s="1" t="s">
        <v>530</v>
      </c>
      <c r="I276" s="1"/>
      <c r="J276" s="1"/>
      <c r="K276" s="1"/>
      <c r="L276" s="1"/>
      <c r="O276" s="1"/>
      <c r="P276" s="1"/>
    </row>
    <row r="277" spans="1:16" x14ac:dyDescent="0.35">
      <c r="A277" s="1" t="s">
        <v>76</v>
      </c>
      <c r="B277" s="1" t="s">
        <v>80</v>
      </c>
      <c r="C277" s="1" t="s">
        <v>132</v>
      </c>
      <c r="D277" s="1" t="s">
        <v>133</v>
      </c>
      <c r="E277" s="1" t="s">
        <v>602</v>
      </c>
      <c r="F277" s="1" t="s">
        <v>603</v>
      </c>
      <c r="I277" s="1"/>
      <c r="J277" s="1"/>
      <c r="K277" s="1"/>
      <c r="L277" s="1"/>
      <c r="O277" s="1"/>
      <c r="P277" s="1"/>
    </row>
    <row r="278" spans="1:16" x14ac:dyDescent="0.35">
      <c r="A278" s="1" t="s">
        <v>76</v>
      </c>
      <c r="B278" s="1" t="s">
        <v>80</v>
      </c>
      <c r="C278" s="1" t="s">
        <v>132</v>
      </c>
      <c r="D278" s="1" t="s">
        <v>133</v>
      </c>
      <c r="E278" s="1" t="s">
        <v>643</v>
      </c>
      <c r="F278" s="1" t="s">
        <v>644</v>
      </c>
      <c r="I278" s="1"/>
      <c r="J278" s="1"/>
      <c r="K278" s="1"/>
      <c r="L278" s="1"/>
      <c r="O278" s="1"/>
      <c r="P278" s="1"/>
    </row>
    <row r="279" spans="1:16" x14ac:dyDescent="0.35">
      <c r="A279" s="1" t="s">
        <v>76</v>
      </c>
      <c r="B279" s="1" t="s">
        <v>80</v>
      </c>
      <c r="C279" s="1" t="s">
        <v>132</v>
      </c>
      <c r="D279" s="1" t="s">
        <v>133</v>
      </c>
      <c r="E279" s="1" t="s">
        <v>732</v>
      </c>
      <c r="F279" s="1" t="s">
        <v>733</v>
      </c>
      <c r="I279" s="1"/>
      <c r="J279" s="1"/>
      <c r="K279" s="1"/>
      <c r="L279" s="1"/>
      <c r="O279" s="1"/>
      <c r="P279" s="1"/>
    </row>
    <row r="280" spans="1:16" x14ac:dyDescent="0.35">
      <c r="A280" s="1" t="s">
        <v>76</v>
      </c>
      <c r="B280" s="1" t="s">
        <v>80</v>
      </c>
      <c r="C280" s="1" t="s">
        <v>132</v>
      </c>
      <c r="D280" s="1" t="s">
        <v>133</v>
      </c>
      <c r="E280" s="1" t="s">
        <v>736</v>
      </c>
      <c r="F280" s="1" t="s">
        <v>737</v>
      </c>
      <c r="I280" s="1"/>
      <c r="J280" s="1"/>
      <c r="K280" s="1"/>
      <c r="L280" s="1"/>
      <c r="O280" s="1"/>
      <c r="P280" s="1"/>
    </row>
    <row r="281" spans="1:16" x14ac:dyDescent="0.35">
      <c r="A281" s="1" t="s">
        <v>76</v>
      </c>
      <c r="B281" s="1" t="s">
        <v>80</v>
      </c>
      <c r="C281" s="1" t="s">
        <v>132</v>
      </c>
      <c r="D281" s="1" t="s">
        <v>133</v>
      </c>
      <c r="E281" s="1" t="s">
        <v>1120</v>
      </c>
      <c r="F281" s="1" t="s">
        <v>1121</v>
      </c>
      <c r="I281" s="1"/>
      <c r="J281" s="1"/>
      <c r="K281" s="1"/>
      <c r="L281" s="1"/>
      <c r="O281" s="1"/>
      <c r="P281" s="1"/>
    </row>
    <row r="282" spans="1:16" x14ac:dyDescent="0.35">
      <c r="A282" s="1" t="s">
        <v>76</v>
      </c>
      <c r="B282" s="1" t="s">
        <v>80</v>
      </c>
      <c r="C282" s="1" t="s">
        <v>132</v>
      </c>
      <c r="D282" s="1" t="s">
        <v>133</v>
      </c>
      <c r="E282" s="1" t="s">
        <v>1183</v>
      </c>
      <c r="F282" s="1" t="s">
        <v>1184</v>
      </c>
      <c r="I282" s="1"/>
      <c r="J282" s="1"/>
      <c r="K282" s="1"/>
      <c r="L282" s="1"/>
      <c r="O282" s="1"/>
      <c r="P282" s="1"/>
    </row>
    <row r="283" spans="1:16" x14ac:dyDescent="0.35">
      <c r="A283" s="1" t="s">
        <v>76</v>
      </c>
      <c r="B283" s="1" t="s">
        <v>80</v>
      </c>
      <c r="C283" s="1" t="s">
        <v>132</v>
      </c>
      <c r="D283" s="1" t="s">
        <v>133</v>
      </c>
      <c r="E283" s="1" t="s">
        <v>1399</v>
      </c>
      <c r="F283" s="1" t="s">
        <v>1400</v>
      </c>
      <c r="I283" s="1"/>
      <c r="J283" s="1"/>
      <c r="K283" s="1"/>
      <c r="L283" s="1"/>
      <c r="O283" s="1"/>
      <c r="P283" s="1"/>
    </row>
    <row r="284" spans="1:16" x14ac:dyDescent="0.35">
      <c r="A284" s="1" t="s">
        <v>76</v>
      </c>
      <c r="B284" s="1" t="s">
        <v>80</v>
      </c>
      <c r="C284" s="1" t="s">
        <v>132</v>
      </c>
      <c r="D284" s="1" t="s">
        <v>133</v>
      </c>
      <c r="E284" s="1" t="s">
        <v>1539</v>
      </c>
      <c r="F284" s="1" t="s">
        <v>1540</v>
      </c>
      <c r="I284" s="1"/>
      <c r="J284" s="1"/>
      <c r="K284" s="1"/>
      <c r="L284" s="1"/>
      <c r="O284" s="1"/>
      <c r="P284" s="1"/>
    </row>
    <row r="285" spans="1:16" x14ac:dyDescent="0.35">
      <c r="A285" s="1" t="s">
        <v>76</v>
      </c>
      <c r="B285" s="1" t="s">
        <v>80</v>
      </c>
      <c r="C285" s="1" t="s">
        <v>132</v>
      </c>
      <c r="D285" s="1" t="s">
        <v>133</v>
      </c>
      <c r="E285" s="1" t="s">
        <v>1581</v>
      </c>
      <c r="F285" s="1" t="s">
        <v>1582</v>
      </c>
      <c r="I285" s="1"/>
      <c r="J285" s="1"/>
      <c r="K285" s="1"/>
      <c r="L285" s="1"/>
      <c r="O285" s="1"/>
      <c r="P285" s="1"/>
    </row>
    <row r="286" spans="1:16" x14ac:dyDescent="0.35">
      <c r="A286" s="1" t="s">
        <v>76</v>
      </c>
      <c r="B286" s="1" t="s">
        <v>80</v>
      </c>
      <c r="C286" s="1" t="s">
        <v>134</v>
      </c>
      <c r="D286" s="1" t="s">
        <v>135</v>
      </c>
      <c r="E286" s="1" t="s">
        <v>640</v>
      </c>
      <c r="F286" s="1" t="s">
        <v>641</v>
      </c>
      <c r="I286" s="1"/>
      <c r="J286" s="1"/>
      <c r="K286" s="1"/>
      <c r="L286" s="1"/>
      <c r="O286" s="1"/>
      <c r="P286" s="1"/>
    </row>
    <row r="287" spans="1:16" x14ac:dyDescent="0.35">
      <c r="A287" s="1" t="s">
        <v>76</v>
      </c>
      <c r="B287" s="1" t="s">
        <v>80</v>
      </c>
      <c r="C287" s="1" t="s">
        <v>134</v>
      </c>
      <c r="D287" s="1" t="s">
        <v>135</v>
      </c>
      <c r="E287" s="1" t="s">
        <v>651</v>
      </c>
      <c r="F287" s="1" t="s">
        <v>652</v>
      </c>
      <c r="I287" s="1"/>
      <c r="J287" s="1"/>
      <c r="K287" s="1"/>
      <c r="L287" s="1"/>
      <c r="O287" s="1"/>
      <c r="P287" s="1"/>
    </row>
    <row r="288" spans="1:16" x14ac:dyDescent="0.35">
      <c r="A288" s="1" t="s">
        <v>76</v>
      </c>
      <c r="B288" s="1" t="s">
        <v>80</v>
      </c>
      <c r="C288" s="1" t="s">
        <v>134</v>
      </c>
      <c r="D288" s="1" t="s">
        <v>135</v>
      </c>
      <c r="E288" s="1" t="s">
        <v>904</v>
      </c>
      <c r="F288" s="1" t="s">
        <v>905</v>
      </c>
      <c r="I288" s="1"/>
      <c r="J288" s="1"/>
      <c r="K288" s="1"/>
      <c r="L288" s="1"/>
      <c r="O288" s="1"/>
      <c r="P288" s="1"/>
    </row>
    <row r="289" spans="1:16" x14ac:dyDescent="0.35">
      <c r="A289" s="1" t="s">
        <v>76</v>
      </c>
      <c r="B289" s="1" t="s">
        <v>80</v>
      </c>
      <c r="C289" s="1" t="s">
        <v>134</v>
      </c>
      <c r="D289" s="1" t="s">
        <v>135</v>
      </c>
      <c r="E289" s="1" t="s">
        <v>967</v>
      </c>
      <c r="F289" s="1" t="s">
        <v>968</v>
      </c>
      <c r="I289" s="1"/>
      <c r="J289" s="1"/>
      <c r="K289" s="1"/>
      <c r="L289" s="1"/>
      <c r="O289" s="1"/>
      <c r="P289" s="1"/>
    </row>
    <row r="290" spans="1:16" x14ac:dyDescent="0.35">
      <c r="A290" s="1" t="s">
        <v>76</v>
      </c>
      <c r="B290" s="1" t="s">
        <v>80</v>
      </c>
      <c r="C290" s="1" t="s">
        <v>134</v>
      </c>
      <c r="D290" s="1" t="s">
        <v>135</v>
      </c>
      <c r="E290" s="1" t="s">
        <v>977</v>
      </c>
      <c r="F290" s="1" t="s">
        <v>978</v>
      </c>
      <c r="I290" s="1"/>
      <c r="J290" s="1"/>
      <c r="K290" s="1"/>
      <c r="L290" s="1"/>
      <c r="O290" s="1"/>
      <c r="P290" s="1"/>
    </row>
    <row r="291" spans="1:16" x14ac:dyDescent="0.35">
      <c r="A291" s="1" t="s">
        <v>76</v>
      </c>
      <c r="B291" s="1" t="s">
        <v>80</v>
      </c>
      <c r="C291" s="1" t="s">
        <v>134</v>
      </c>
      <c r="D291" s="1" t="s">
        <v>135</v>
      </c>
      <c r="E291" s="1" t="s">
        <v>1050</v>
      </c>
      <c r="F291" s="1" t="s">
        <v>1051</v>
      </c>
      <c r="I291" s="1"/>
      <c r="J291" s="1"/>
      <c r="K291" s="1"/>
      <c r="L291" s="1"/>
      <c r="O291" s="1"/>
      <c r="P291" s="1"/>
    </row>
    <row r="292" spans="1:16" x14ac:dyDescent="0.35">
      <c r="A292" s="1" t="s">
        <v>76</v>
      </c>
      <c r="B292" s="1" t="s">
        <v>80</v>
      </c>
      <c r="C292" s="1" t="s">
        <v>134</v>
      </c>
      <c r="D292" s="1" t="s">
        <v>135</v>
      </c>
      <c r="E292" s="1" t="s">
        <v>1161</v>
      </c>
      <c r="F292" s="1" t="s">
        <v>1162</v>
      </c>
      <c r="I292" s="1"/>
      <c r="J292" s="1"/>
      <c r="K292" s="1"/>
      <c r="L292" s="1"/>
      <c r="O292" s="1"/>
      <c r="P292" s="1"/>
    </row>
    <row r="293" spans="1:16" x14ac:dyDescent="0.35">
      <c r="A293" s="1" t="s">
        <v>76</v>
      </c>
      <c r="B293" s="1" t="s">
        <v>80</v>
      </c>
      <c r="C293" s="1" t="s">
        <v>134</v>
      </c>
      <c r="D293" s="1" t="s">
        <v>135</v>
      </c>
      <c r="E293" s="1" t="s">
        <v>1169</v>
      </c>
      <c r="F293" s="1" t="s">
        <v>1170</v>
      </c>
      <c r="I293" s="1"/>
      <c r="J293" s="1"/>
      <c r="K293" s="1"/>
      <c r="L293" s="1"/>
      <c r="O293" s="1"/>
      <c r="P293" s="1"/>
    </row>
    <row r="294" spans="1:16" x14ac:dyDescent="0.35">
      <c r="A294" s="1" t="s">
        <v>76</v>
      </c>
      <c r="B294" s="1" t="s">
        <v>80</v>
      </c>
      <c r="C294" s="1" t="s">
        <v>134</v>
      </c>
      <c r="D294" s="1" t="s">
        <v>135</v>
      </c>
      <c r="E294" s="1" t="s">
        <v>1315</v>
      </c>
      <c r="F294" s="1" t="s">
        <v>1316</v>
      </c>
      <c r="I294" s="1"/>
      <c r="J294" s="1"/>
      <c r="K294" s="1"/>
      <c r="L294" s="1"/>
      <c r="O294" s="1"/>
      <c r="P294" s="1"/>
    </row>
    <row r="295" spans="1:16" x14ac:dyDescent="0.35">
      <c r="A295" s="1" t="s">
        <v>76</v>
      </c>
      <c r="B295" s="1" t="s">
        <v>80</v>
      </c>
      <c r="C295" s="1" t="s">
        <v>134</v>
      </c>
      <c r="D295" s="1" t="s">
        <v>135</v>
      </c>
      <c r="E295" s="1" t="s">
        <v>1371</v>
      </c>
      <c r="F295" s="1" t="s">
        <v>1372</v>
      </c>
      <c r="I295" s="1"/>
      <c r="J295" s="1"/>
      <c r="K295" s="1"/>
      <c r="L295" s="1"/>
      <c r="O295" s="1"/>
      <c r="P295" s="1"/>
    </row>
    <row r="296" spans="1:16" x14ac:dyDescent="0.35">
      <c r="A296" s="1" t="s">
        <v>76</v>
      </c>
      <c r="B296" s="1" t="s">
        <v>80</v>
      </c>
      <c r="C296" s="1" t="s">
        <v>134</v>
      </c>
      <c r="D296" s="1" t="s">
        <v>135</v>
      </c>
      <c r="E296" s="1" t="s">
        <v>1509</v>
      </c>
      <c r="F296" s="1" t="s">
        <v>1510</v>
      </c>
      <c r="I296" s="1"/>
      <c r="J296" s="1"/>
      <c r="K296" s="1"/>
      <c r="L296" s="1"/>
      <c r="O296" s="1"/>
      <c r="P296" s="1"/>
    </row>
    <row r="297" spans="1:16" x14ac:dyDescent="0.35">
      <c r="A297" s="1" t="s">
        <v>76</v>
      </c>
      <c r="B297" s="1" t="s">
        <v>80</v>
      </c>
      <c r="C297" s="1" t="s">
        <v>136</v>
      </c>
      <c r="D297" s="1" t="s">
        <v>137</v>
      </c>
      <c r="E297" s="1" t="s">
        <v>224</v>
      </c>
      <c r="F297" s="1" t="s">
        <v>225</v>
      </c>
      <c r="I297" s="1"/>
      <c r="J297" s="1"/>
      <c r="K297" s="1"/>
      <c r="L297" s="1"/>
      <c r="O297" s="1"/>
      <c r="P297" s="1"/>
    </row>
    <row r="298" spans="1:16" x14ac:dyDescent="0.35">
      <c r="A298" s="1" t="s">
        <v>76</v>
      </c>
      <c r="B298" s="1" t="s">
        <v>80</v>
      </c>
      <c r="C298" s="1" t="s">
        <v>136</v>
      </c>
      <c r="D298" s="1" t="s">
        <v>137</v>
      </c>
      <c r="E298" s="1" t="s">
        <v>226</v>
      </c>
      <c r="F298" s="1" t="s">
        <v>227</v>
      </c>
      <c r="I298" s="1"/>
      <c r="J298" s="1"/>
      <c r="K298" s="1"/>
      <c r="L298" s="1"/>
      <c r="O298" s="1"/>
      <c r="P298" s="1"/>
    </row>
    <row r="299" spans="1:16" x14ac:dyDescent="0.35">
      <c r="A299" s="1" t="s">
        <v>76</v>
      </c>
      <c r="B299" s="1" t="s">
        <v>80</v>
      </c>
      <c r="C299" s="1" t="s">
        <v>136</v>
      </c>
      <c r="D299" s="1" t="s">
        <v>137</v>
      </c>
      <c r="E299" s="1" t="s">
        <v>268</v>
      </c>
      <c r="F299" s="1" t="s">
        <v>269</v>
      </c>
      <c r="I299" s="1"/>
      <c r="J299" s="1"/>
      <c r="K299" s="1"/>
      <c r="L299" s="1"/>
      <c r="O299" s="1"/>
      <c r="P299" s="1"/>
    </row>
    <row r="300" spans="1:16" x14ac:dyDescent="0.35">
      <c r="A300" s="1" t="s">
        <v>76</v>
      </c>
      <c r="B300" s="1" t="s">
        <v>80</v>
      </c>
      <c r="C300" s="1" t="s">
        <v>136</v>
      </c>
      <c r="D300" s="1" t="s">
        <v>137</v>
      </c>
      <c r="E300" s="1" t="s">
        <v>317</v>
      </c>
      <c r="F300" s="1" t="s">
        <v>318</v>
      </c>
      <c r="I300" s="1"/>
      <c r="J300" s="1"/>
      <c r="K300" s="1"/>
      <c r="L300" s="1"/>
      <c r="O300" s="1"/>
      <c r="P300" s="1"/>
    </row>
    <row r="301" spans="1:16" x14ac:dyDescent="0.35">
      <c r="A301" s="1" t="s">
        <v>76</v>
      </c>
      <c r="B301" s="1" t="s">
        <v>80</v>
      </c>
      <c r="C301" s="1" t="s">
        <v>136</v>
      </c>
      <c r="D301" s="1" t="s">
        <v>137</v>
      </c>
      <c r="E301" s="1" t="s">
        <v>459</v>
      </c>
      <c r="F301" s="1" t="s">
        <v>460</v>
      </c>
      <c r="I301" s="1"/>
      <c r="J301" s="1"/>
      <c r="K301" s="1"/>
      <c r="L301" s="1"/>
      <c r="O301" s="1"/>
      <c r="P301" s="1"/>
    </row>
    <row r="302" spans="1:16" x14ac:dyDescent="0.35">
      <c r="A302" s="1" t="s">
        <v>76</v>
      </c>
      <c r="B302" s="1" t="s">
        <v>80</v>
      </c>
      <c r="C302" s="1" t="s">
        <v>136</v>
      </c>
      <c r="D302" s="1" t="s">
        <v>137</v>
      </c>
      <c r="E302" s="1" t="s">
        <v>728</v>
      </c>
      <c r="F302" s="1" t="s">
        <v>729</v>
      </c>
      <c r="I302" s="1"/>
      <c r="J302" s="1"/>
      <c r="K302" s="1"/>
      <c r="L302" s="1"/>
      <c r="O302" s="1"/>
      <c r="P302" s="1"/>
    </row>
    <row r="303" spans="1:16" x14ac:dyDescent="0.35">
      <c r="A303" s="1" t="s">
        <v>76</v>
      </c>
      <c r="B303" s="1" t="s">
        <v>80</v>
      </c>
      <c r="C303" s="1" t="s">
        <v>136</v>
      </c>
      <c r="D303" s="1" t="s">
        <v>137</v>
      </c>
      <c r="E303" s="1" t="s">
        <v>870</v>
      </c>
      <c r="F303" s="1" t="s">
        <v>871</v>
      </c>
      <c r="I303" s="1"/>
      <c r="J303" s="1"/>
      <c r="K303" s="1"/>
      <c r="L303" s="1"/>
      <c r="O303" s="1"/>
      <c r="P303" s="1"/>
    </row>
    <row r="304" spans="1:16" x14ac:dyDescent="0.35">
      <c r="A304" s="1" t="s">
        <v>76</v>
      </c>
      <c r="B304" s="1" t="s">
        <v>80</v>
      </c>
      <c r="C304" s="1" t="s">
        <v>136</v>
      </c>
      <c r="D304" s="1" t="s">
        <v>137</v>
      </c>
      <c r="E304" s="1" t="s">
        <v>1212</v>
      </c>
      <c r="F304" s="1" t="s">
        <v>1213</v>
      </c>
      <c r="I304" s="1"/>
      <c r="J304" s="1"/>
      <c r="K304" s="1"/>
      <c r="L304" s="1"/>
      <c r="O304" s="1"/>
      <c r="P304" s="1"/>
    </row>
    <row r="305" spans="1:16" x14ac:dyDescent="0.35">
      <c r="A305" s="1" t="s">
        <v>76</v>
      </c>
      <c r="B305" s="1" t="s">
        <v>80</v>
      </c>
      <c r="C305" s="1" t="s">
        <v>136</v>
      </c>
      <c r="D305" s="1" t="s">
        <v>137</v>
      </c>
      <c r="E305" s="1" t="s">
        <v>1301</v>
      </c>
      <c r="F305" s="1" t="s">
        <v>1302</v>
      </c>
      <c r="I305" s="1"/>
      <c r="J305" s="1"/>
      <c r="K305" s="1"/>
      <c r="L305" s="1"/>
      <c r="O305" s="1"/>
      <c r="P305" s="1"/>
    </row>
    <row r="306" spans="1:16" x14ac:dyDescent="0.35">
      <c r="A306" s="1" t="s">
        <v>76</v>
      </c>
      <c r="B306" s="1" t="s">
        <v>80</v>
      </c>
      <c r="C306" s="1" t="s">
        <v>136</v>
      </c>
      <c r="D306" s="1" t="s">
        <v>137</v>
      </c>
      <c r="E306" s="1" t="s">
        <v>1507</v>
      </c>
      <c r="F306" s="1" t="s">
        <v>1508</v>
      </c>
      <c r="I306" s="1"/>
      <c r="J306" s="1"/>
      <c r="K306" s="1"/>
      <c r="L306" s="1"/>
      <c r="O306" s="1"/>
      <c r="P306" s="1"/>
    </row>
    <row r="307" spans="1:16" x14ac:dyDescent="0.35">
      <c r="A307" s="1" t="s">
        <v>76</v>
      </c>
      <c r="B307" s="1" t="s">
        <v>80</v>
      </c>
      <c r="C307" s="1" t="s">
        <v>138</v>
      </c>
      <c r="D307" s="1" t="s">
        <v>139</v>
      </c>
      <c r="E307" s="1" t="s">
        <v>222</v>
      </c>
      <c r="F307" s="1" t="s">
        <v>223</v>
      </c>
      <c r="I307" s="1"/>
      <c r="J307" s="1"/>
      <c r="K307" s="1"/>
      <c r="L307" s="1"/>
      <c r="O307" s="1"/>
      <c r="P307" s="1"/>
    </row>
    <row r="308" spans="1:16" x14ac:dyDescent="0.35">
      <c r="A308" s="1" t="s">
        <v>76</v>
      </c>
      <c r="B308" s="1" t="s">
        <v>80</v>
      </c>
      <c r="C308" s="1" t="s">
        <v>138</v>
      </c>
      <c r="D308" s="1" t="s">
        <v>139</v>
      </c>
      <c r="E308" s="1" t="s">
        <v>341</v>
      </c>
      <c r="F308" s="1" t="s">
        <v>342</v>
      </c>
      <c r="I308" s="1"/>
      <c r="J308" s="1"/>
      <c r="K308" s="1"/>
      <c r="L308" s="1"/>
      <c r="O308" s="1"/>
      <c r="P308" s="1"/>
    </row>
    <row r="309" spans="1:16" x14ac:dyDescent="0.35">
      <c r="A309" s="1" t="s">
        <v>76</v>
      </c>
      <c r="B309" s="1" t="s">
        <v>80</v>
      </c>
      <c r="C309" s="1" t="s">
        <v>138</v>
      </c>
      <c r="D309" s="1" t="s">
        <v>139</v>
      </c>
      <c r="E309" s="1" t="s">
        <v>138</v>
      </c>
      <c r="F309" s="1" t="s">
        <v>494</v>
      </c>
      <c r="I309" s="1"/>
      <c r="J309" s="1"/>
      <c r="K309" s="1"/>
      <c r="L309" s="1"/>
      <c r="O309" s="1"/>
      <c r="P309" s="1"/>
    </row>
    <row r="310" spans="1:16" x14ac:dyDescent="0.35">
      <c r="A310" s="1" t="s">
        <v>76</v>
      </c>
      <c r="B310" s="1" t="s">
        <v>80</v>
      </c>
      <c r="C310" s="1" t="s">
        <v>138</v>
      </c>
      <c r="D310" s="1" t="s">
        <v>139</v>
      </c>
      <c r="E310" s="1" t="s">
        <v>594</v>
      </c>
      <c r="F310" s="1" t="s">
        <v>595</v>
      </c>
      <c r="I310" s="1"/>
      <c r="J310" s="1"/>
      <c r="K310" s="1"/>
      <c r="L310" s="1"/>
      <c r="O310" s="1"/>
      <c r="P310" s="1"/>
    </row>
    <row r="311" spans="1:16" x14ac:dyDescent="0.35">
      <c r="A311" s="1" t="s">
        <v>76</v>
      </c>
      <c r="B311" s="1" t="s">
        <v>80</v>
      </c>
      <c r="C311" s="1" t="s">
        <v>138</v>
      </c>
      <c r="D311" s="1" t="s">
        <v>139</v>
      </c>
      <c r="E311" s="1" t="s">
        <v>1068</v>
      </c>
      <c r="F311" s="1" t="s">
        <v>1069</v>
      </c>
      <c r="I311" s="1"/>
      <c r="J311" s="1"/>
      <c r="K311" s="1"/>
      <c r="L311" s="1"/>
      <c r="O311" s="1"/>
      <c r="P311" s="1"/>
    </row>
    <row r="312" spans="1:16" x14ac:dyDescent="0.35">
      <c r="A312" s="1" t="s">
        <v>76</v>
      </c>
      <c r="B312" s="1" t="s">
        <v>80</v>
      </c>
      <c r="C312" s="1" t="s">
        <v>138</v>
      </c>
      <c r="D312" s="1" t="s">
        <v>139</v>
      </c>
      <c r="E312" s="1" t="s">
        <v>1070</v>
      </c>
      <c r="F312" s="1" t="s">
        <v>1071</v>
      </c>
      <c r="I312" s="1"/>
      <c r="J312" s="1"/>
      <c r="K312" s="1"/>
      <c r="L312" s="1"/>
      <c r="O312" s="1"/>
      <c r="P312" s="1"/>
    </row>
    <row r="313" spans="1:16" x14ac:dyDescent="0.35">
      <c r="A313" s="1" t="s">
        <v>76</v>
      </c>
      <c r="B313" s="1" t="s">
        <v>80</v>
      </c>
      <c r="C313" s="1" t="s">
        <v>138</v>
      </c>
      <c r="D313" s="1" t="s">
        <v>139</v>
      </c>
      <c r="E313" s="1" t="s">
        <v>1130</v>
      </c>
      <c r="F313" s="1" t="s">
        <v>1131</v>
      </c>
      <c r="I313" s="1"/>
      <c r="J313" s="1"/>
      <c r="K313" s="1"/>
      <c r="L313" s="1"/>
      <c r="O313" s="1"/>
      <c r="P313" s="1"/>
    </row>
    <row r="314" spans="1:16" x14ac:dyDescent="0.35">
      <c r="A314" s="1" t="s">
        <v>76</v>
      </c>
      <c r="B314" s="1" t="s">
        <v>80</v>
      </c>
      <c r="C314" s="1" t="s">
        <v>138</v>
      </c>
      <c r="D314" s="1" t="s">
        <v>139</v>
      </c>
      <c r="E314" s="1" t="s">
        <v>1214</v>
      </c>
      <c r="F314" s="1" t="s">
        <v>1215</v>
      </c>
      <c r="I314" s="1"/>
      <c r="J314" s="1"/>
      <c r="K314" s="1"/>
      <c r="L314" s="1"/>
      <c r="O314" s="1"/>
      <c r="P314" s="1"/>
    </row>
    <row r="315" spans="1:16" x14ac:dyDescent="0.35">
      <c r="A315" s="1" t="s">
        <v>76</v>
      </c>
      <c r="B315" s="1" t="s">
        <v>80</v>
      </c>
      <c r="C315" s="1" t="s">
        <v>138</v>
      </c>
      <c r="D315" s="1" t="s">
        <v>139</v>
      </c>
      <c r="E315" s="1" t="s">
        <v>1273</v>
      </c>
      <c r="F315" s="1" t="s">
        <v>1274</v>
      </c>
      <c r="I315" s="1"/>
      <c r="J315" s="1"/>
      <c r="K315" s="1"/>
      <c r="L315" s="1"/>
      <c r="O315" s="1"/>
      <c r="P315" s="1"/>
    </row>
    <row r="316" spans="1:16" x14ac:dyDescent="0.35">
      <c r="A316" s="1" t="s">
        <v>76</v>
      </c>
      <c r="B316" s="1" t="s">
        <v>80</v>
      </c>
      <c r="C316" s="1" t="s">
        <v>138</v>
      </c>
      <c r="D316" s="1" t="s">
        <v>139</v>
      </c>
      <c r="E316" s="1" t="s">
        <v>1461</v>
      </c>
      <c r="F316" s="1" t="s">
        <v>1462</v>
      </c>
      <c r="I316" s="1"/>
      <c r="J316" s="1"/>
      <c r="K316" s="1"/>
      <c r="L316" s="1"/>
      <c r="O316" s="1"/>
      <c r="P316" s="1"/>
    </row>
    <row r="317" spans="1:16" x14ac:dyDescent="0.35">
      <c r="A317" s="1" t="s">
        <v>76</v>
      </c>
      <c r="B317" s="1" t="s">
        <v>80</v>
      </c>
      <c r="C317" s="1" t="s">
        <v>140</v>
      </c>
      <c r="D317" s="1" t="s">
        <v>141</v>
      </c>
      <c r="E317" s="1" t="s">
        <v>248</v>
      </c>
      <c r="F317" s="1" t="s">
        <v>249</v>
      </c>
      <c r="I317" s="1"/>
      <c r="J317" s="1"/>
      <c r="K317" s="1"/>
      <c r="L317" s="1"/>
      <c r="O317" s="1"/>
      <c r="P317" s="1"/>
    </row>
    <row r="318" spans="1:16" x14ac:dyDescent="0.35">
      <c r="A318" s="1" t="s">
        <v>76</v>
      </c>
      <c r="B318" s="1" t="s">
        <v>80</v>
      </c>
      <c r="C318" s="1" t="s">
        <v>140</v>
      </c>
      <c r="D318" s="1" t="s">
        <v>141</v>
      </c>
      <c r="E318" s="1" t="s">
        <v>421</v>
      </c>
      <c r="F318" s="1" t="s">
        <v>422</v>
      </c>
      <c r="I318" s="1"/>
      <c r="J318" s="1"/>
      <c r="K318" s="1"/>
      <c r="L318" s="1"/>
      <c r="O318" s="1"/>
      <c r="P318" s="1"/>
    </row>
    <row r="319" spans="1:16" x14ac:dyDescent="0.35">
      <c r="A319" s="1" t="s">
        <v>76</v>
      </c>
      <c r="B319" s="1" t="s">
        <v>80</v>
      </c>
      <c r="C319" s="1" t="s">
        <v>140</v>
      </c>
      <c r="D319" s="1" t="s">
        <v>141</v>
      </c>
      <c r="E319" s="1" t="s">
        <v>561</v>
      </c>
      <c r="F319" s="1" t="s">
        <v>562</v>
      </c>
      <c r="I319" s="1"/>
      <c r="J319" s="1"/>
      <c r="K319" s="1"/>
      <c r="L319" s="1"/>
      <c r="O319" s="1"/>
      <c r="P319" s="1"/>
    </row>
    <row r="320" spans="1:16" x14ac:dyDescent="0.35">
      <c r="A320" s="1" t="s">
        <v>76</v>
      </c>
      <c r="B320" s="1" t="s">
        <v>80</v>
      </c>
      <c r="C320" s="1" t="s">
        <v>140</v>
      </c>
      <c r="D320" s="1" t="s">
        <v>141</v>
      </c>
      <c r="E320" s="1" t="s">
        <v>610</v>
      </c>
      <c r="F320" s="1" t="s">
        <v>611</v>
      </c>
      <c r="I320" s="1"/>
      <c r="J320" s="1"/>
      <c r="K320" s="1"/>
      <c r="L320" s="1"/>
      <c r="O320" s="1"/>
      <c r="P320" s="1"/>
    </row>
    <row r="321" spans="1:16" x14ac:dyDescent="0.35">
      <c r="A321" s="1" t="s">
        <v>76</v>
      </c>
      <c r="B321" s="1" t="s">
        <v>80</v>
      </c>
      <c r="C321" s="1" t="s">
        <v>140</v>
      </c>
      <c r="D321" s="1" t="s">
        <v>141</v>
      </c>
      <c r="E321" s="1" t="s">
        <v>659</v>
      </c>
      <c r="F321" s="1" t="s">
        <v>660</v>
      </c>
      <c r="I321" s="1"/>
      <c r="J321" s="1"/>
      <c r="K321" s="1"/>
      <c r="L321" s="1"/>
      <c r="O321" s="1"/>
      <c r="P321" s="1"/>
    </row>
    <row r="322" spans="1:16" x14ac:dyDescent="0.35">
      <c r="A322" s="1" t="s">
        <v>76</v>
      </c>
      <c r="B322" s="1" t="s">
        <v>80</v>
      </c>
      <c r="C322" s="1" t="s">
        <v>140</v>
      </c>
      <c r="D322" s="1" t="s">
        <v>141</v>
      </c>
      <c r="E322" s="1" t="s">
        <v>698</v>
      </c>
      <c r="F322" s="1" t="s">
        <v>699</v>
      </c>
      <c r="I322" s="1"/>
      <c r="J322" s="1"/>
      <c r="K322" s="1"/>
      <c r="L322" s="1"/>
      <c r="O322" s="1"/>
      <c r="P322" s="1"/>
    </row>
    <row r="323" spans="1:16" x14ac:dyDescent="0.35">
      <c r="A323" s="1" t="s">
        <v>76</v>
      </c>
      <c r="B323" s="1" t="s">
        <v>80</v>
      </c>
      <c r="C323" s="1" t="s">
        <v>140</v>
      </c>
      <c r="D323" s="1" t="s">
        <v>141</v>
      </c>
      <c r="E323" s="1" t="s">
        <v>700</v>
      </c>
      <c r="F323" s="1" t="s">
        <v>701</v>
      </c>
      <c r="I323" s="1"/>
      <c r="J323" s="1"/>
      <c r="K323" s="1"/>
      <c r="L323" s="1"/>
      <c r="O323" s="1"/>
      <c r="P323" s="1"/>
    </row>
    <row r="324" spans="1:16" x14ac:dyDescent="0.35">
      <c r="A324" s="1" t="s">
        <v>76</v>
      </c>
      <c r="B324" s="1" t="s">
        <v>80</v>
      </c>
      <c r="C324" s="1" t="s">
        <v>140</v>
      </c>
      <c r="D324" s="1" t="s">
        <v>141</v>
      </c>
      <c r="E324" s="1" t="s">
        <v>928</v>
      </c>
      <c r="F324" s="1" t="s">
        <v>929</v>
      </c>
      <c r="I324" s="1"/>
      <c r="J324" s="1"/>
      <c r="K324" s="1"/>
      <c r="L324" s="1"/>
      <c r="O324" s="1"/>
      <c r="P324" s="1"/>
    </row>
    <row r="325" spans="1:16" x14ac:dyDescent="0.35">
      <c r="A325" s="1" t="s">
        <v>76</v>
      </c>
      <c r="B325" s="1" t="s">
        <v>80</v>
      </c>
      <c r="C325" s="1" t="s">
        <v>140</v>
      </c>
      <c r="D325" s="1" t="s">
        <v>141</v>
      </c>
      <c r="E325" s="1" t="s">
        <v>1261</v>
      </c>
      <c r="F325" s="1" t="s">
        <v>1262</v>
      </c>
      <c r="I325" s="1"/>
      <c r="J325" s="1"/>
      <c r="K325" s="1"/>
      <c r="L325" s="1"/>
      <c r="O325" s="1"/>
      <c r="P325" s="1"/>
    </row>
    <row r="326" spans="1:16" x14ac:dyDescent="0.35">
      <c r="A326" s="1" t="s">
        <v>76</v>
      </c>
      <c r="B326" s="1" t="s">
        <v>80</v>
      </c>
      <c r="C326" s="1" t="s">
        <v>140</v>
      </c>
      <c r="D326" s="1" t="s">
        <v>141</v>
      </c>
      <c r="E326" s="1" t="s">
        <v>1585</v>
      </c>
      <c r="F326" s="1" t="s">
        <v>1586</v>
      </c>
      <c r="I326" s="1"/>
      <c r="J326" s="1"/>
      <c r="K326" s="1"/>
      <c r="L326" s="1"/>
      <c r="O326" s="1"/>
      <c r="P326" s="1"/>
    </row>
    <row r="327" spans="1:16" x14ac:dyDescent="0.35">
      <c r="A327" s="1" t="s">
        <v>76</v>
      </c>
      <c r="B327" s="1" t="s">
        <v>80</v>
      </c>
      <c r="C327" s="1" t="s">
        <v>142</v>
      </c>
      <c r="D327" s="1" t="s">
        <v>143</v>
      </c>
      <c r="E327" s="1" t="s">
        <v>218</v>
      </c>
      <c r="F327" s="1" t="s">
        <v>219</v>
      </c>
      <c r="I327" s="1"/>
      <c r="J327" s="1"/>
      <c r="K327" s="1"/>
      <c r="L327" s="1"/>
      <c r="O327" s="1"/>
      <c r="P327" s="1"/>
    </row>
    <row r="328" spans="1:16" x14ac:dyDescent="0.35">
      <c r="A328" s="1" t="s">
        <v>76</v>
      </c>
      <c r="B328" s="1" t="s">
        <v>80</v>
      </c>
      <c r="C328" s="1" t="s">
        <v>142</v>
      </c>
      <c r="D328" s="1" t="s">
        <v>143</v>
      </c>
      <c r="E328" s="1" t="s">
        <v>710</v>
      </c>
      <c r="F328" s="1" t="s">
        <v>711</v>
      </c>
      <c r="I328" s="1"/>
      <c r="J328" s="1"/>
      <c r="K328" s="1"/>
      <c r="L328" s="1"/>
      <c r="O328" s="1"/>
      <c r="P328" s="1"/>
    </row>
    <row r="329" spans="1:16" x14ac:dyDescent="0.35">
      <c r="A329" s="1" t="s">
        <v>76</v>
      </c>
      <c r="B329" s="1" t="s">
        <v>80</v>
      </c>
      <c r="C329" s="1" t="s">
        <v>142</v>
      </c>
      <c r="D329" s="1" t="s">
        <v>143</v>
      </c>
      <c r="E329" s="1" t="s">
        <v>712</v>
      </c>
      <c r="F329" s="1" t="s">
        <v>713</v>
      </c>
      <c r="I329" s="1"/>
      <c r="J329" s="1"/>
      <c r="K329" s="1"/>
      <c r="L329" s="1"/>
      <c r="O329" s="1"/>
      <c r="P329" s="1"/>
    </row>
    <row r="330" spans="1:16" x14ac:dyDescent="0.35">
      <c r="A330" s="1" t="s">
        <v>76</v>
      </c>
      <c r="B330" s="1" t="s">
        <v>80</v>
      </c>
      <c r="C330" s="1" t="s">
        <v>142</v>
      </c>
      <c r="D330" s="1" t="s">
        <v>143</v>
      </c>
      <c r="E330" s="1" t="s">
        <v>746</v>
      </c>
      <c r="F330" s="1" t="s">
        <v>747</v>
      </c>
      <c r="I330" s="1"/>
      <c r="J330" s="1"/>
      <c r="K330" s="1"/>
      <c r="L330" s="1"/>
      <c r="O330" s="1"/>
      <c r="P330" s="1"/>
    </row>
    <row r="331" spans="1:16" x14ac:dyDescent="0.35">
      <c r="A331" s="1" t="s">
        <v>76</v>
      </c>
      <c r="B331" s="1" t="s">
        <v>80</v>
      </c>
      <c r="C331" s="1" t="s">
        <v>142</v>
      </c>
      <c r="D331" s="1" t="s">
        <v>143</v>
      </c>
      <c r="E331" s="1" t="s">
        <v>753</v>
      </c>
      <c r="F331" s="1" t="s">
        <v>754</v>
      </c>
      <c r="I331" s="1"/>
      <c r="J331" s="1"/>
      <c r="K331" s="1"/>
      <c r="L331" s="1"/>
      <c r="O331" s="1"/>
      <c r="P331" s="1"/>
    </row>
    <row r="332" spans="1:16" x14ac:dyDescent="0.35">
      <c r="A332" s="1" t="s">
        <v>76</v>
      </c>
      <c r="B332" s="1" t="s">
        <v>80</v>
      </c>
      <c r="C332" s="1" t="s">
        <v>142</v>
      </c>
      <c r="D332" s="1" t="s">
        <v>143</v>
      </c>
      <c r="E332" s="1" t="s">
        <v>755</v>
      </c>
      <c r="F332" s="1" t="s">
        <v>756</v>
      </c>
      <c r="I332" s="1"/>
      <c r="J332" s="1"/>
      <c r="K332" s="1"/>
      <c r="L332" s="1"/>
      <c r="O332" s="1"/>
      <c r="P332" s="1"/>
    </row>
    <row r="333" spans="1:16" x14ac:dyDescent="0.35">
      <c r="A333" s="1" t="s">
        <v>76</v>
      </c>
      <c r="B333" s="1" t="s">
        <v>80</v>
      </c>
      <c r="C333" s="1" t="s">
        <v>142</v>
      </c>
      <c r="D333" s="1" t="s">
        <v>143</v>
      </c>
      <c r="E333" s="1" t="s">
        <v>926</v>
      </c>
      <c r="F333" s="1" t="s">
        <v>927</v>
      </c>
      <c r="I333" s="1"/>
      <c r="J333" s="1"/>
      <c r="K333" s="1"/>
      <c r="L333" s="1"/>
      <c r="O333" s="1"/>
      <c r="P333" s="1"/>
    </row>
    <row r="334" spans="1:16" x14ac:dyDescent="0.35">
      <c r="A334" s="1" t="s">
        <v>76</v>
      </c>
      <c r="B334" s="1" t="s">
        <v>80</v>
      </c>
      <c r="C334" s="1" t="s">
        <v>142</v>
      </c>
      <c r="D334" s="1" t="s">
        <v>143</v>
      </c>
      <c r="E334" s="1" t="s">
        <v>1095</v>
      </c>
      <c r="F334" s="1" t="s">
        <v>1096</v>
      </c>
      <c r="I334" s="1"/>
      <c r="J334" s="1"/>
      <c r="K334" s="1"/>
      <c r="L334" s="1"/>
      <c r="O334" s="1"/>
      <c r="P334" s="1"/>
    </row>
    <row r="335" spans="1:16" x14ac:dyDescent="0.35">
      <c r="A335" s="1" t="s">
        <v>76</v>
      </c>
      <c r="B335" s="1" t="s">
        <v>80</v>
      </c>
      <c r="C335" s="1" t="s">
        <v>142</v>
      </c>
      <c r="D335" s="1" t="s">
        <v>143</v>
      </c>
      <c r="E335" s="1" t="s">
        <v>1191</v>
      </c>
      <c r="F335" s="1" t="s">
        <v>1192</v>
      </c>
      <c r="I335" s="1"/>
      <c r="J335" s="1"/>
      <c r="K335" s="1"/>
      <c r="L335" s="1"/>
      <c r="O335" s="1"/>
      <c r="P335" s="1"/>
    </row>
    <row r="336" spans="1:16" x14ac:dyDescent="0.35">
      <c r="A336" s="1" t="s">
        <v>76</v>
      </c>
      <c r="B336" s="1" t="s">
        <v>80</v>
      </c>
      <c r="C336" s="1" t="s">
        <v>142</v>
      </c>
      <c r="D336" s="1" t="s">
        <v>143</v>
      </c>
      <c r="E336" s="1" t="s">
        <v>1495</v>
      </c>
      <c r="F336" s="1" t="s">
        <v>1496</v>
      </c>
      <c r="I336" s="1"/>
      <c r="J336" s="1"/>
      <c r="K336" s="1"/>
      <c r="L336" s="1"/>
      <c r="O336" s="1"/>
      <c r="P336" s="1"/>
    </row>
    <row r="337" spans="1:16" x14ac:dyDescent="0.35">
      <c r="A337" s="1" t="s">
        <v>76</v>
      </c>
      <c r="B337" s="1" t="s">
        <v>80</v>
      </c>
      <c r="C337" s="1" t="s">
        <v>144</v>
      </c>
      <c r="D337" s="1" t="s">
        <v>145</v>
      </c>
      <c r="E337" s="1" t="s">
        <v>260</v>
      </c>
      <c r="F337" s="1" t="s">
        <v>261</v>
      </c>
      <c r="I337" s="1"/>
      <c r="J337" s="1"/>
      <c r="K337" s="1"/>
      <c r="L337" s="1"/>
      <c r="O337" s="1"/>
      <c r="P337" s="1"/>
    </row>
    <row r="338" spans="1:16" x14ac:dyDescent="0.35">
      <c r="A338" s="1" t="s">
        <v>76</v>
      </c>
      <c r="B338" s="1" t="s">
        <v>80</v>
      </c>
      <c r="C338" s="1" t="s">
        <v>144</v>
      </c>
      <c r="D338" s="1" t="s">
        <v>145</v>
      </c>
      <c r="E338" s="1" t="s">
        <v>337</v>
      </c>
      <c r="F338" s="1" t="s">
        <v>338</v>
      </c>
      <c r="I338" s="1"/>
      <c r="J338" s="1"/>
      <c r="K338" s="1"/>
      <c r="L338" s="1"/>
      <c r="O338" s="1"/>
      <c r="P338" s="1"/>
    </row>
    <row r="339" spans="1:16" x14ac:dyDescent="0.35">
      <c r="A339" s="1" t="s">
        <v>76</v>
      </c>
      <c r="B339" s="1" t="s">
        <v>80</v>
      </c>
      <c r="C339" s="1" t="s">
        <v>144</v>
      </c>
      <c r="D339" s="1" t="s">
        <v>145</v>
      </c>
      <c r="E339" s="1" t="s">
        <v>383</v>
      </c>
      <c r="F339" s="1" t="s">
        <v>384</v>
      </c>
      <c r="I339" s="1"/>
      <c r="J339" s="1"/>
      <c r="K339" s="1"/>
      <c r="L339" s="1"/>
      <c r="O339" s="1"/>
      <c r="P339" s="1"/>
    </row>
    <row r="340" spans="1:16" x14ac:dyDescent="0.35">
      <c r="A340" s="1" t="s">
        <v>76</v>
      </c>
      <c r="B340" s="1" t="s">
        <v>80</v>
      </c>
      <c r="C340" s="1" t="s">
        <v>144</v>
      </c>
      <c r="D340" s="1" t="s">
        <v>145</v>
      </c>
      <c r="E340" s="1" t="s">
        <v>413</v>
      </c>
      <c r="F340" s="1" t="s">
        <v>414</v>
      </c>
      <c r="I340" s="1"/>
      <c r="J340" s="1"/>
      <c r="K340" s="1"/>
      <c r="L340" s="1"/>
      <c r="O340" s="1"/>
      <c r="P340" s="1"/>
    </row>
    <row r="341" spans="1:16" x14ac:dyDescent="0.35">
      <c r="A341" s="1" t="s">
        <v>76</v>
      </c>
      <c r="B341" s="1" t="s">
        <v>80</v>
      </c>
      <c r="C341" s="1" t="s">
        <v>144</v>
      </c>
      <c r="D341" s="1" t="s">
        <v>145</v>
      </c>
      <c r="E341" s="1" t="s">
        <v>653</v>
      </c>
      <c r="F341" s="1" t="s">
        <v>654</v>
      </c>
      <c r="I341" s="1"/>
      <c r="J341" s="1"/>
      <c r="K341" s="1"/>
      <c r="L341" s="1"/>
      <c r="O341" s="1"/>
      <c r="P341" s="1"/>
    </row>
    <row r="342" spans="1:16" x14ac:dyDescent="0.35">
      <c r="A342" s="1" t="s">
        <v>76</v>
      </c>
      <c r="B342" s="1" t="s">
        <v>80</v>
      </c>
      <c r="C342" s="1" t="s">
        <v>144</v>
      </c>
      <c r="D342" s="1" t="s">
        <v>145</v>
      </c>
      <c r="E342" s="1" t="s">
        <v>708</v>
      </c>
      <c r="F342" s="1" t="s">
        <v>709</v>
      </c>
      <c r="I342" s="1"/>
      <c r="J342" s="1"/>
      <c r="K342" s="1"/>
      <c r="L342" s="1"/>
      <c r="O342" s="1"/>
      <c r="P342" s="1"/>
    </row>
    <row r="343" spans="1:16" x14ac:dyDescent="0.35">
      <c r="A343" s="1" t="s">
        <v>76</v>
      </c>
      <c r="B343" s="1" t="s">
        <v>80</v>
      </c>
      <c r="C343" s="1" t="s">
        <v>144</v>
      </c>
      <c r="D343" s="1" t="s">
        <v>145</v>
      </c>
      <c r="E343" s="1" t="s">
        <v>781</v>
      </c>
      <c r="F343" s="1" t="s">
        <v>782</v>
      </c>
      <c r="I343" s="1"/>
      <c r="J343" s="1"/>
      <c r="K343" s="1"/>
      <c r="L343" s="1"/>
      <c r="O343" s="1"/>
      <c r="P343" s="1"/>
    </row>
    <row r="344" spans="1:16" x14ac:dyDescent="0.35">
      <c r="A344" s="1" t="s">
        <v>76</v>
      </c>
      <c r="B344" s="1" t="s">
        <v>80</v>
      </c>
      <c r="C344" s="1" t="s">
        <v>144</v>
      </c>
      <c r="D344" s="1" t="s">
        <v>145</v>
      </c>
      <c r="E344" s="1" t="s">
        <v>783</v>
      </c>
      <c r="F344" s="1" t="s">
        <v>784</v>
      </c>
      <c r="I344" s="1"/>
      <c r="J344" s="1"/>
      <c r="K344" s="1"/>
      <c r="L344" s="1"/>
      <c r="O344" s="1"/>
      <c r="P344" s="1"/>
    </row>
    <row r="345" spans="1:16" x14ac:dyDescent="0.35">
      <c r="A345" s="1" t="s">
        <v>76</v>
      </c>
      <c r="B345" s="1" t="s">
        <v>80</v>
      </c>
      <c r="C345" s="1" t="s">
        <v>144</v>
      </c>
      <c r="D345" s="1" t="s">
        <v>145</v>
      </c>
      <c r="E345" s="1" t="s">
        <v>930</v>
      </c>
      <c r="F345" s="1" t="s">
        <v>931</v>
      </c>
      <c r="I345" s="1"/>
      <c r="J345" s="1"/>
      <c r="K345" s="1"/>
      <c r="L345" s="1"/>
      <c r="O345" s="1"/>
      <c r="P345" s="1"/>
    </row>
    <row r="346" spans="1:16" x14ac:dyDescent="0.35">
      <c r="A346" s="1" t="s">
        <v>76</v>
      </c>
      <c r="B346" s="1" t="s">
        <v>80</v>
      </c>
      <c r="C346" s="1" t="s">
        <v>144</v>
      </c>
      <c r="D346" s="1" t="s">
        <v>145</v>
      </c>
      <c r="E346" s="1" t="s">
        <v>1000</v>
      </c>
      <c r="F346" s="1" t="s">
        <v>1001</v>
      </c>
      <c r="I346" s="1"/>
      <c r="J346" s="1"/>
      <c r="K346" s="1"/>
      <c r="L346" s="1"/>
      <c r="O346" s="1"/>
      <c r="P346" s="1"/>
    </row>
    <row r="347" spans="1:16" x14ac:dyDescent="0.35">
      <c r="A347" s="1" t="s">
        <v>76</v>
      </c>
      <c r="B347" s="1" t="s">
        <v>80</v>
      </c>
      <c r="C347" s="1" t="s">
        <v>144</v>
      </c>
      <c r="D347" s="1" t="s">
        <v>145</v>
      </c>
      <c r="E347" s="1" t="s">
        <v>1269</v>
      </c>
      <c r="F347" s="1" t="s">
        <v>1270</v>
      </c>
      <c r="I347" s="1"/>
      <c r="J347" s="1"/>
      <c r="K347" s="1"/>
      <c r="L347" s="1"/>
      <c r="O347" s="1"/>
      <c r="P347" s="1"/>
    </row>
    <row r="348" spans="1:16" x14ac:dyDescent="0.35">
      <c r="A348" s="1" t="s">
        <v>76</v>
      </c>
      <c r="B348" s="1" t="s">
        <v>80</v>
      </c>
      <c r="C348" s="1" t="s">
        <v>144</v>
      </c>
      <c r="D348" s="1" t="s">
        <v>145</v>
      </c>
      <c r="E348" s="1" t="s">
        <v>1321</v>
      </c>
      <c r="F348" s="1" t="s">
        <v>1322</v>
      </c>
      <c r="I348" s="1"/>
      <c r="J348" s="1"/>
      <c r="K348" s="1"/>
      <c r="L348" s="1"/>
      <c r="O348" s="1"/>
      <c r="P348" s="1"/>
    </row>
    <row r="349" spans="1:16" x14ac:dyDescent="0.35">
      <c r="A349" s="1" t="s">
        <v>76</v>
      </c>
      <c r="B349" s="1" t="s">
        <v>80</v>
      </c>
      <c r="C349" s="1" t="s">
        <v>144</v>
      </c>
      <c r="D349" s="1" t="s">
        <v>145</v>
      </c>
      <c r="E349" s="1" t="s">
        <v>1485</v>
      </c>
      <c r="F349" s="1" t="s">
        <v>1486</v>
      </c>
      <c r="I349" s="1"/>
      <c r="J349" s="1"/>
      <c r="K349" s="1"/>
      <c r="L349" s="1"/>
      <c r="O349" s="1"/>
      <c r="P349" s="1"/>
    </row>
    <row r="350" spans="1:16" x14ac:dyDescent="0.35">
      <c r="A350" s="1" t="s">
        <v>76</v>
      </c>
      <c r="B350" s="1" t="s">
        <v>80</v>
      </c>
      <c r="C350" s="1" t="s">
        <v>146</v>
      </c>
      <c r="D350" s="1" t="s">
        <v>147</v>
      </c>
      <c r="E350" s="1" t="s">
        <v>327</v>
      </c>
      <c r="F350" s="1" t="s">
        <v>328</v>
      </c>
      <c r="I350" s="1"/>
      <c r="J350" s="1"/>
      <c r="K350" s="1"/>
      <c r="L350" s="1"/>
      <c r="O350" s="1"/>
      <c r="P350" s="1"/>
    </row>
    <row r="351" spans="1:16" x14ac:dyDescent="0.35">
      <c r="A351" s="1" t="s">
        <v>76</v>
      </c>
      <c r="B351" s="1" t="s">
        <v>80</v>
      </c>
      <c r="C351" s="1" t="s">
        <v>146</v>
      </c>
      <c r="D351" s="1" t="s">
        <v>147</v>
      </c>
      <c r="E351" s="1" t="s">
        <v>694</v>
      </c>
      <c r="F351" s="1" t="s">
        <v>695</v>
      </c>
      <c r="I351" s="1"/>
      <c r="J351" s="1"/>
      <c r="K351" s="1"/>
      <c r="L351" s="1"/>
      <c r="O351" s="1"/>
      <c r="P351" s="1"/>
    </row>
    <row r="352" spans="1:16" x14ac:dyDescent="0.35">
      <c r="A352" s="1" t="s">
        <v>76</v>
      </c>
      <c r="B352" s="1" t="s">
        <v>80</v>
      </c>
      <c r="C352" s="1" t="s">
        <v>146</v>
      </c>
      <c r="D352" s="1" t="s">
        <v>147</v>
      </c>
      <c r="E352" s="1" t="s">
        <v>765</v>
      </c>
      <c r="F352" s="1" t="s">
        <v>766</v>
      </c>
      <c r="I352" s="1"/>
      <c r="J352" s="1"/>
      <c r="K352" s="1"/>
      <c r="L352" s="1"/>
      <c r="O352" s="1"/>
      <c r="P352" s="1"/>
    </row>
    <row r="353" spans="1:16" x14ac:dyDescent="0.35">
      <c r="A353" s="1" t="s">
        <v>76</v>
      </c>
      <c r="B353" s="1" t="s">
        <v>80</v>
      </c>
      <c r="C353" s="1" t="s">
        <v>146</v>
      </c>
      <c r="D353" s="1" t="s">
        <v>147</v>
      </c>
      <c r="E353" s="1" t="s">
        <v>796</v>
      </c>
      <c r="F353" s="1" t="s">
        <v>797</v>
      </c>
      <c r="I353" s="1"/>
      <c r="J353" s="1"/>
      <c r="K353" s="1"/>
      <c r="L353" s="1"/>
      <c r="O353" s="1"/>
      <c r="P353" s="1"/>
    </row>
    <row r="354" spans="1:16" x14ac:dyDescent="0.35">
      <c r="A354" s="1" t="s">
        <v>76</v>
      </c>
      <c r="B354" s="1" t="s">
        <v>80</v>
      </c>
      <c r="C354" s="1" t="s">
        <v>146</v>
      </c>
      <c r="D354" s="1" t="s">
        <v>147</v>
      </c>
      <c r="E354" s="1" t="s">
        <v>920</v>
      </c>
      <c r="F354" s="1" t="s">
        <v>921</v>
      </c>
      <c r="I354" s="1"/>
      <c r="J354" s="1"/>
      <c r="K354" s="1"/>
      <c r="L354" s="1"/>
      <c r="O354" s="1"/>
      <c r="P354" s="1"/>
    </row>
    <row r="355" spans="1:16" x14ac:dyDescent="0.35">
      <c r="A355" s="1" t="s">
        <v>76</v>
      </c>
      <c r="B355" s="1" t="s">
        <v>80</v>
      </c>
      <c r="C355" s="1" t="s">
        <v>146</v>
      </c>
      <c r="D355" s="1" t="s">
        <v>147</v>
      </c>
      <c r="E355" s="1" t="s">
        <v>1013</v>
      </c>
      <c r="F355" s="1" t="s">
        <v>1014</v>
      </c>
      <c r="I355" s="1"/>
      <c r="J355" s="1"/>
      <c r="K355" s="1"/>
      <c r="L355" s="1"/>
      <c r="O355" s="1"/>
      <c r="P355" s="1"/>
    </row>
    <row r="356" spans="1:16" x14ac:dyDescent="0.35">
      <c r="A356" s="1" t="s">
        <v>76</v>
      </c>
      <c r="B356" s="1" t="s">
        <v>80</v>
      </c>
      <c r="C356" s="1" t="s">
        <v>146</v>
      </c>
      <c r="D356" s="1" t="s">
        <v>147</v>
      </c>
      <c r="E356" s="1" t="s">
        <v>1018</v>
      </c>
      <c r="F356" s="1" t="s">
        <v>1019</v>
      </c>
      <c r="I356" s="1"/>
      <c r="J356" s="1"/>
      <c r="K356" s="1"/>
      <c r="L356" s="1"/>
      <c r="O356" s="1"/>
      <c r="P356" s="1"/>
    </row>
    <row r="357" spans="1:16" x14ac:dyDescent="0.35">
      <c r="A357" s="1" t="s">
        <v>76</v>
      </c>
      <c r="B357" s="1" t="s">
        <v>80</v>
      </c>
      <c r="C357" s="1" t="s">
        <v>146</v>
      </c>
      <c r="D357" s="1" t="s">
        <v>147</v>
      </c>
      <c r="E357" s="1" t="s">
        <v>1128</v>
      </c>
      <c r="F357" s="1" t="s">
        <v>1129</v>
      </c>
      <c r="I357" s="1"/>
      <c r="J357" s="1"/>
      <c r="K357" s="1"/>
      <c r="L357" s="1"/>
      <c r="O357" s="1"/>
      <c r="P357" s="1"/>
    </row>
    <row r="358" spans="1:16" x14ac:dyDescent="0.35">
      <c r="A358" s="1" t="s">
        <v>76</v>
      </c>
      <c r="B358" s="1" t="s">
        <v>80</v>
      </c>
      <c r="C358" s="1" t="s">
        <v>146</v>
      </c>
      <c r="D358" s="1" t="s">
        <v>147</v>
      </c>
      <c r="E358" s="1" t="s">
        <v>1311</v>
      </c>
      <c r="F358" s="1" t="s">
        <v>1312</v>
      </c>
      <c r="I358" s="1"/>
      <c r="J358" s="1"/>
      <c r="K358" s="1"/>
      <c r="L358" s="1"/>
      <c r="O358" s="1"/>
      <c r="P358" s="1"/>
    </row>
    <row r="359" spans="1:16" x14ac:dyDescent="0.35">
      <c r="A359" s="1" t="s">
        <v>76</v>
      </c>
      <c r="B359" s="1" t="s">
        <v>80</v>
      </c>
      <c r="C359" s="1" t="s">
        <v>146</v>
      </c>
      <c r="D359" s="1" t="s">
        <v>147</v>
      </c>
      <c r="E359" s="1" t="s">
        <v>1319</v>
      </c>
      <c r="F359" s="1" t="s">
        <v>1320</v>
      </c>
      <c r="I359" s="1"/>
      <c r="J359" s="1"/>
      <c r="K359" s="1"/>
      <c r="L359" s="1"/>
      <c r="O359" s="1"/>
      <c r="P359" s="1"/>
    </row>
    <row r="360" spans="1:16" x14ac:dyDescent="0.35">
      <c r="A360" s="1" t="s">
        <v>76</v>
      </c>
      <c r="B360" s="1" t="s">
        <v>80</v>
      </c>
      <c r="C360" s="1" t="s">
        <v>146</v>
      </c>
      <c r="D360" s="1" t="s">
        <v>147</v>
      </c>
      <c r="E360" s="1" t="s">
        <v>1346</v>
      </c>
      <c r="F360" s="1" t="s">
        <v>1347</v>
      </c>
      <c r="I360" s="1"/>
      <c r="J360" s="1"/>
      <c r="K360" s="1"/>
      <c r="L360" s="1"/>
      <c r="O360" s="1"/>
      <c r="P360" s="1"/>
    </row>
    <row r="361" spans="1:16" x14ac:dyDescent="0.35">
      <c r="A361" s="1" t="s">
        <v>76</v>
      </c>
      <c r="B361" s="1" t="s">
        <v>80</v>
      </c>
      <c r="C361" s="1" t="s">
        <v>146</v>
      </c>
      <c r="D361" s="1" t="s">
        <v>147</v>
      </c>
      <c r="E361" s="1" t="s">
        <v>1354</v>
      </c>
      <c r="F361" s="1" t="s">
        <v>1355</v>
      </c>
      <c r="I361" s="1"/>
      <c r="J361" s="1"/>
      <c r="K361" s="1"/>
      <c r="L361" s="1"/>
      <c r="O361" s="1"/>
      <c r="P361" s="1"/>
    </row>
    <row r="362" spans="1:16" x14ac:dyDescent="0.35">
      <c r="A362" s="1" t="s">
        <v>76</v>
      </c>
      <c r="B362" s="1" t="s">
        <v>80</v>
      </c>
      <c r="C362" s="1" t="s">
        <v>148</v>
      </c>
      <c r="D362" s="1" t="s">
        <v>149</v>
      </c>
      <c r="E362" s="1" t="s">
        <v>240</v>
      </c>
      <c r="F362" s="1" t="s">
        <v>241</v>
      </c>
      <c r="I362" s="1"/>
      <c r="J362" s="1"/>
      <c r="K362" s="1"/>
      <c r="L362" s="1"/>
      <c r="O362" s="1"/>
      <c r="P362" s="1"/>
    </row>
    <row r="363" spans="1:16" x14ac:dyDescent="0.35">
      <c r="A363" s="1" t="s">
        <v>76</v>
      </c>
      <c r="B363" s="1" t="s">
        <v>80</v>
      </c>
      <c r="C363" s="1" t="s">
        <v>148</v>
      </c>
      <c r="D363" s="1" t="s">
        <v>149</v>
      </c>
      <c r="E363" s="1" t="s">
        <v>435</v>
      </c>
      <c r="F363" s="1" t="s">
        <v>436</v>
      </c>
      <c r="I363" s="1"/>
      <c r="J363" s="1"/>
      <c r="K363" s="1"/>
      <c r="L363" s="1"/>
      <c r="O363" s="1"/>
      <c r="P363" s="1"/>
    </row>
    <row r="364" spans="1:16" x14ac:dyDescent="0.35">
      <c r="A364" s="1" t="s">
        <v>76</v>
      </c>
      <c r="B364" s="1" t="s">
        <v>80</v>
      </c>
      <c r="C364" s="1" t="s">
        <v>148</v>
      </c>
      <c r="D364" s="1" t="s">
        <v>149</v>
      </c>
      <c r="E364" s="1" t="s">
        <v>545</v>
      </c>
      <c r="F364" s="1" t="s">
        <v>546</v>
      </c>
      <c r="I364" s="1"/>
      <c r="J364" s="1"/>
      <c r="K364" s="1"/>
      <c r="L364" s="1"/>
      <c r="O364" s="1"/>
      <c r="P364" s="1"/>
    </row>
    <row r="365" spans="1:16" x14ac:dyDescent="0.35">
      <c r="A365" s="1" t="s">
        <v>76</v>
      </c>
      <c r="B365" s="1" t="s">
        <v>80</v>
      </c>
      <c r="C365" s="1" t="s">
        <v>148</v>
      </c>
      <c r="D365" s="1" t="s">
        <v>149</v>
      </c>
      <c r="E365" s="1" t="s">
        <v>604</v>
      </c>
      <c r="F365" s="1" t="s">
        <v>605</v>
      </c>
      <c r="I365" s="1"/>
      <c r="J365" s="1"/>
      <c r="K365" s="1"/>
      <c r="L365" s="1"/>
      <c r="O365" s="1"/>
      <c r="P365" s="1"/>
    </row>
    <row r="366" spans="1:16" x14ac:dyDescent="0.35">
      <c r="A366" s="1" t="s">
        <v>76</v>
      </c>
      <c r="B366" s="1" t="s">
        <v>80</v>
      </c>
      <c r="C366" s="1" t="s">
        <v>148</v>
      </c>
      <c r="D366" s="1" t="s">
        <v>149</v>
      </c>
      <c r="E366" s="1" t="s">
        <v>675</v>
      </c>
      <c r="F366" s="1" t="s">
        <v>676</v>
      </c>
      <c r="I366" s="1"/>
      <c r="J366" s="1"/>
      <c r="K366" s="1"/>
      <c r="L366" s="1"/>
      <c r="O366" s="1"/>
      <c r="P366" s="1"/>
    </row>
    <row r="367" spans="1:16" x14ac:dyDescent="0.35">
      <c r="A367" s="1" t="s">
        <v>76</v>
      </c>
      <c r="B367" s="1" t="s">
        <v>80</v>
      </c>
      <c r="C367" s="1" t="s">
        <v>148</v>
      </c>
      <c r="D367" s="1" t="s">
        <v>149</v>
      </c>
      <c r="E367" s="1" t="s">
        <v>681</v>
      </c>
      <c r="F367" s="1" t="s">
        <v>682</v>
      </c>
      <c r="I367" s="1"/>
      <c r="J367" s="1"/>
      <c r="K367" s="1"/>
      <c r="L367" s="1"/>
      <c r="O367" s="1"/>
      <c r="P367" s="1"/>
    </row>
    <row r="368" spans="1:16" x14ac:dyDescent="0.35">
      <c r="A368" s="1" t="s">
        <v>76</v>
      </c>
      <c r="B368" s="1" t="s">
        <v>80</v>
      </c>
      <c r="C368" s="1" t="s">
        <v>148</v>
      </c>
      <c r="D368" s="1" t="s">
        <v>149</v>
      </c>
      <c r="E368" s="1" t="s">
        <v>918</v>
      </c>
      <c r="F368" s="1" t="s">
        <v>919</v>
      </c>
      <c r="I368" s="1"/>
      <c r="J368" s="1"/>
      <c r="K368" s="1"/>
      <c r="L368" s="1"/>
      <c r="O368" s="1"/>
      <c r="P368" s="1"/>
    </row>
    <row r="369" spans="1:16" x14ac:dyDescent="0.35">
      <c r="A369" s="1" t="s">
        <v>76</v>
      </c>
      <c r="B369" s="1" t="s">
        <v>80</v>
      </c>
      <c r="C369" s="1" t="s">
        <v>148</v>
      </c>
      <c r="D369" s="1" t="s">
        <v>149</v>
      </c>
      <c r="E369" s="1" t="s">
        <v>1091</v>
      </c>
      <c r="F369" s="1" t="s">
        <v>1092</v>
      </c>
      <c r="I369" s="1"/>
      <c r="J369" s="1"/>
      <c r="K369" s="1"/>
      <c r="L369" s="1"/>
      <c r="O369" s="1"/>
      <c r="P369" s="1"/>
    </row>
    <row r="370" spans="1:16" x14ac:dyDescent="0.35">
      <c r="A370" s="1" t="s">
        <v>76</v>
      </c>
      <c r="B370" s="1" t="s">
        <v>80</v>
      </c>
      <c r="C370" s="1" t="s">
        <v>148</v>
      </c>
      <c r="D370" s="1" t="s">
        <v>149</v>
      </c>
      <c r="E370" s="1" t="s">
        <v>1098</v>
      </c>
      <c r="F370" s="1" t="s">
        <v>1099</v>
      </c>
      <c r="I370" s="1"/>
      <c r="J370" s="1"/>
      <c r="K370" s="1"/>
      <c r="L370" s="1"/>
      <c r="O370" s="1"/>
      <c r="P370" s="1"/>
    </row>
    <row r="371" spans="1:16" x14ac:dyDescent="0.35">
      <c r="A371" s="1" t="s">
        <v>76</v>
      </c>
      <c r="B371" s="1" t="s">
        <v>80</v>
      </c>
      <c r="C371" s="1" t="s">
        <v>148</v>
      </c>
      <c r="D371" s="1" t="s">
        <v>149</v>
      </c>
      <c r="E371" s="1" t="s">
        <v>1139</v>
      </c>
      <c r="F371" s="1" t="s">
        <v>1140</v>
      </c>
      <c r="I371" s="1"/>
      <c r="J371" s="1"/>
      <c r="K371" s="1"/>
      <c r="L371" s="1"/>
      <c r="O371" s="1"/>
      <c r="P371" s="1"/>
    </row>
    <row r="372" spans="1:16" x14ac:dyDescent="0.35">
      <c r="A372" s="1" t="s">
        <v>76</v>
      </c>
      <c r="B372" s="1" t="s">
        <v>80</v>
      </c>
      <c r="C372" s="1" t="s">
        <v>148</v>
      </c>
      <c r="D372" s="1" t="s">
        <v>149</v>
      </c>
      <c r="E372" s="1" t="s">
        <v>1303</v>
      </c>
      <c r="F372" s="1" t="s">
        <v>1304</v>
      </c>
      <c r="I372" s="1"/>
      <c r="J372" s="1"/>
      <c r="K372" s="1"/>
      <c r="L372" s="1"/>
      <c r="O372" s="1"/>
      <c r="P372" s="1"/>
    </row>
    <row r="373" spans="1:16" x14ac:dyDescent="0.35">
      <c r="A373" s="1" t="s">
        <v>76</v>
      </c>
      <c r="B373" s="1" t="s">
        <v>80</v>
      </c>
      <c r="C373" s="1" t="s">
        <v>148</v>
      </c>
      <c r="D373" s="1" t="s">
        <v>149</v>
      </c>
      <c r="E373" s="1" t="s">
        <v>1450</v>
      </c>
      <c r="F373" s="1" t="s">
        <v>1451</v>
      </c>
      <c r="I373" s="1"/>
      <c r="J373" s="1"/>
      <c r="K373" s="1"/>
      <c r="L373" s="1"/>
      <c r="O373" s="1"/>
      <c r="P373" s="1"/>
    </row>
    <row r="374" spans="1:16" x14ac:dyDescent="0.35">
      <c r="A374" s="1" t="s">
        <v>76</v>
      </c>
      <c r="B374" s="1" t="s">
        <v>80</v>
      </c>
      <c r="C374" s="1" t="s">
        <v>150</v>
      </c>
      <c r="D374" s="1" t="s">
        <v>151</v>
      </c>
      <c r="E374" s="1" t="s">
        <v>319</v>
      </c>
      <c r="F374" s="1" t="s">
        <v>320</v>
      </c>
      <c r="I374" s="1"/>
      <c r="J374" s="1"/>
      <c r="K374" s="1"/>
      <c r="L374" s="1"/>
      <c r="O374" s="1"/>
      <c r="P374" s="1"/>
    </row>
    <row r="375" spans="1:16" x14ac:dyDescent="0.35">
      <c r="A375" s="1" t="s">
        <v>76</v>
      </c>
      <c r="B375" s="1" t="s">
        <v>80</v>
      </c>
      <c r="C375" s="1" t="s">
        <v>150</v>
      </c>
      <c r="D375" s="1" t="s">
        <v>151</v>
      </c>
      <c r="E375" s="1" t="s">
        <v>365</v>
      </c>
      <c r="F375" s="1" t="s">
        <v>366</v>
      </c>
      <c r="I375" s="1"/>
      <c r="J375" s="1"/>
      <c r="K375" s="1"/>
      <c r="L375" s="1"/>
      <c r="O375" s="1"/>
      <c r="P375" s="1"/>
    </row>
    <row r="376" spans="1:16" x14ac:dyDescent="0.35">
      <c r="A376" s="1" t="s">
        <v>76</v>
      </c>
      <c r="B376" s="1" t="s">
        <v>80</v>
      </c>
      <c r="C376" s="1" t="s">
        <v>150</v>
      </c>
      <c r="D376" s="1" t="s">
        <v>151</v>
      </c>
      <c r="E376" s="1" t="s">
        <v>507</v>
      </c>
      <c r="F376" s="1" t="s">
        <v>508</v>
      </c>
      <c r="I376" s="1"/>
      <c r="J376" s="1"/>
      <c r="K376" s="1"/>
      <c r="L376" s="1"/>
      <c r="O376" s="1"/>
      <c r="P376" s="1"/>
    </row>
    <row r="377" spans="1:16" x14ac:dyDescent="0.35">
      <c r="A377" s="1" t="s">
        <v>76</v>
      </c>
      <c r="B377" s="1" t="s">
        <v>80</v>
      </c>
      <c r="C377" s="1" t="s">
        <v>150</v>
      </c>
      <c r="D377" s="1" t="s">
        <v>151</v>
      </c>
      <c r="E377" s="1" t="s">
        <v>519</v>
      </c>
      <c r="F377" s="1" t="s">
        <v>520</v>
      </c>
      <c r="I377" s="1"/>
      <c r="J377" s="1"/>
      <c r="K377" s="1"/>
      <c r="L377" s="1"/>
      <c r="O377" s="1"/>
      <c r="P377" s="1"/>
    </row>
    <row r="378" spans="1:16" x14ac:dyDescent="0.35">
      <c r="A378" s="1" t="s">
        <v>76</v>
      </c>
      <c r="B378" s="1" t="s">
        <v>80</v>
      </c>
      <c r="C378" s="1" t="s">
        <v>150</v>
      </c>
      <c r="D378" s="1" t="s">
        <v>151</v>
      </c>
      <c r="E378" s="1" t="s">
        <v>553</v>
      </c>
      <c r="F378" s="1" t="s">
        <v>554</v>
      </c>
      <c r="I378" s="1"/>
      <c r="J378" s="1"/>
      <c r="K378" s="1"/>
      <c r="L378" s="1"/>
      <c r="O378" s="1"/>
      <c r="P378" s="1"/>
    </row>
    <row r="379" spans="1:16" x14ac:dyDescent="0.35">
      <c r="A379" s="1" t="s">
        <v>76</v>
      </c>
      <c r="B379" s="1" t="s">
        <v>80</v>
      </c>
      <c r="C379" s="1" t="s">
        <v>150</v>
      </c>
      <c r="D379" s="1" t="s">
        <v>151</v>
      </c>
      <c r="E379" s="1" t="s">
        <v>600</v>
      </c>
      <c r="F379" s="1" t="s">
        <v>601</v>
      </c>
      <c r="I379" s="1"/>
      <c r="J379" s="1"/>
      <c r="K379" s="1"/>
      <c r="L379" s="1"/>
      <c r="O379" s="1"/>
      <c r="P379" s="1"/>
    </row>
    <row r="380" spans="1:16" x14ac:dyDescent="0.35">
      <c r="A380" s="1" t="s">
        <v>76</v>
      </c>
      <c r="B380" s="1" t="s">
        <v>80</v>
      </c>
      <c r="C380" s="1" t="s">
        <v>150</v>
      </c>
      <c r="D380" s="1" t="s">
        <v>151</v>
      </c>
      <c r="E380" s="1" t="s">
        <v>744</v>
      </c>
      <c r="F380" s="1" t="s">
        <v>745</v>
      </c>
      <c r="I380" s="1"/>
      <c r="J380" s="1"/>
      <c r="K380" s="1"/>
      <c r="L380" s="1"/>
      <c r="O380" s="1"/>
      <c r="P380" s="1"/>
    </row>
    <row r="381" spans="1:16" x14ac:dyDescent="0.35">
      <c r="A381" s="1" t="s">
        <v>76</v>
      </c>
      <c r="B381" s="1" t="s">
        <v>80</v>
      </c>
      <c r="C381" s="1" t="s">
        <v>150</v>
      </c>
      <c r="D381" s="1" t="s">
        <v>151</v>
      </c>
      <c r="E381" s="1" t="s">
        <v>886</v>
      </c>
      <c r="F381" s="1" t="s">
        <v>887</v>
      </c>
      <c r="I381" s="1"/>
      <c r="J381" s="1"/>
      <c r="K381" s="1"/>
      <c r="L381" s="1"/>
      <c r="O381" s="1"/>
      <c r="P381" s="1"/>
    </row>
    <row r="382" spans="1:16" x14ac:dyDescent="0.35">
      <c r="A382" s="1" t="s">
        <v>76</v>
      </c>
      <c r="B382" s="1" t="s">
        <v>80</v>
      </c>
      <c r="C382" s="1" t="s">
        <v>150</v>
      </c>
      <c r="D382" s="1" t="s">
        <v>151</v>
      </c>
      <c r="E382" s="1" t="s">
        <v>1093</v>
      </c>
      <c r="F382" s="1" t="s">
        <v>1094</v>
      </c>
      <c r="I382" s="1"/>
      <c r="J382" s="1"/>
      <c r="K382" s="1"/>
      <c r="L382" s="1"/>
      <c r="O382" s="1"/>
      <c r="P382" s="1"/>
    </row>
    <row r="383" spans="1:16" x14ac:dyDescent="0.35">
      <c r="A383" s="1" t="s">
        <v>76</v>
      </c>
      <c r="B383" s="1" t="s">
        <v>80</v>
      </c>
      <c r="C383" s="1" t="s">
        <v>150</v>
      </c>
      <c r="D383" s="1" t="s">
        <v>151</v>
      </c>
      <c r="E383" s="1" t="s">
        <v>1132</v>
      </c>
      <c r="F383" s="1" t="s">
        <v>1133</v>
      </c>
      <c r="I383" s="1"/>
      <c r="J383" s="1"/>
      <c r="K383" s="1"/>
      <c r="L383" s="1"/>
      <c r="O383" s="1"/>
      <c r="P383" s="1"/>
    </row>
    <row r="384" spans="1:16" x14ac:dyDescent="0.35">
      <c r="A384" s="1" t="s">
        <v>76</v>
      </c>
      <c r="B384" s="1" t="s">
        <v>80</v>
      </c>
      <c r="C384" s="1" t="s">
        <v>150</v>
      </c>
      <c r="D384" s="1" t="s">
        <v>151</v>
      </c>
      <c r="E384" s="1" t="s">
        <v>1247</v>
      </c>
      <c r="F384" s="1" t="s">
        <v>1248</v>
      </c>
      <c r="I384" s="1"/>
      <c r="J384" s="1"/>
      <c r="K384" s="1"/>
      <c r="L384" s="1"/>
      <c r="O384" s="1"/>
      <c r="P384" s="1"/>
    </row>
    <row r="385" spans="1:16" x14ac:dyDescent="0.35">
      <c r="A385" s="1" t="s">
        <v>76</v>
      </c>
      <c r="B385" s="1" t="s">
        <v>80</v>
      </c>
      <c r="C385" s="1" t="s">
        <v>150</v>
      </c>
      <c r="D385" s="1" t="s">
        <v>151</v>
      </c>
      <c r="E385" s="1" t="s">
        <v>1369</v>
      </c>
      <c r="F385" s="1" t="s">
        <v>1370</v>
      </c>
      <c r="I385" s="1"/>
      <c r="J385" s="1"/>
      <c r="K385" s="1"/>
      <c r="L385" s="1"/>
      <c r="O385" s="1"/>
      <c r="P385" s="1"/>
    </row>
    <row r="386" spans="1:16" x14ac:dyDescent="0.35">
      <c r="A386" s="1" t="s">
        <v>76</v>
      </c>
      <c r="B386" s="1" t="s">
        <v>80</v>
      </c>
      <c r="C386" s="1" t="s">
        <v>150</v>
      </c>
      <c r="D386" s="1" t="s">
        <v>151</v>
      </c>
      <c r="E386" s="1" t="s">
        <v>1433</v>
      </c>
      <c r="F386" s="1" t="s">
        <v>1434</v>
      </c>
      <c r="I386" s="1"/>
      <c r="J386" s="1"/>
      <c r="K386" s="1"/>
      <c r="L386" s="1"/>
      <c r="O386" s="1"/>
      <c r="P386" s="1"/>
    </row>
    <row r="387" spans="1:16" x14ac:dyDescent="0.35">
      <c r="A387" s="1" t="s">
        <v>76</v>
      </c>
      <c r="B387" s="1" t="s">
        <v>80</v>
      </c>
      <c r="C387" s="1" t="s">
        <v>150</v>
      </c>
      <c r="D387" s="1" t="s">
        <v>151</v>
      </c>
      <c r="E387" s="1" t="s">
        <v>1483</v>
      </c>
      <c r="F387" s="1" t="s">
        <v>1484</v>
      </c>
      <c r="I387" s="1"/>
      <c r="J387" s="1"/>
      <c r="K387" s="1"/>
      <c r="L387" s="1"/>
      <c r="O387" s="1"/>
      <c r="P387" s="1"/>
    </row>
    <row r="388" spans="1:16" x14ac:dyDescent="0.35">
      <c r="A388" s="1" t="s">
        <v>76</v>
      </c>
      <c r="B388" s="1" t="s">
        <v>80</v>
      </c>
      <c r="C388" s="1" t="s">
        <v>150</v>
      </c>
      <c r="D388" s="1" t="s">
        <v>151</v>
      </c>
      <c r="E388" s="1" t="s">
        <v>1501</v>
      </c>
      <c r="F388" s="1" t="s">
        <v>1502</v>
      </c>
      <c r="I388" s="1"/>
      <c r="J388" s="1"/>
      <c r="K388" s="1"/>
      <c r="L388" s="1"/>
      <c r="O388" s="1"/>
      <c r="P388" s="1"/>
    </row>
    <row r="389" spans="1:16" x14ac:dyDescent="0.35">
      <c r="A389" s="1" t="s">
        <v>76</v>
      </c>
      <c r="B389" s="1" t="s">
        <v>80</v>
      </c>
      <c r="C389" s="1" t="s">
        <v>152</v>
      </c>
      <c r="D389" s="1" t="s">
        <v>153</v>
      </c>
      <c r="E389" s="1" t="s">
        <v>429</v>
      </c>
      <c r="F389" s="1" t="s">
        <v>430</v>
      </c>
      <c r="I389" s="1"/>
      <c r="J389" s="1"/>
      <c r="K389" s="1"/>
      <c r="L389" s="1"/>
      <c r="O389" s="1"/>
      <c r="P389" s="1"/>
    </row>
    <row r="390" spans="1:16" x14ac:dyDescent="0.35">
      <c r="A390" s="1" t="s">
        <v>76</v>
      </c>
      <c r="B390" s="1" t="s">
        <v>80</v>
      </c>
      <c r="C390" s="1" t="s">
        <v>152</v>
      </c>
      <c r="D390" s="1" t="s">
        <v>153</v>
      </c>
      <c r="E390" s="1" t="s">
        <v>836</v>
      </c>
      <c r="F390" s="1" t="s">
        <v>837</v>
      </c>
      <c r="I390" s="1"/>
      <c r="J390" s="1"/>
      <c r="K390" s="1"/>
      <c r="L390" s="1"/>
      <c r="O390" s="1"/>
      <c r="P390" s="1"/>
    </row>
    <row r="391" spans="1:16" x14ac:dyDescent="0.35">
      <c r="A391" s="1" t="s">
        <v>76</v>
      </c>
      <c r="B391" s="1" t="s">
        <v>80</v>
      </c>
      <c r="C391" s="1" t="s">
        <v>152</v>
      </c>
      <c r="D391" s="1" t="s">
        <v>153</v>
      </c>
      <c r="E391" s="1" t="s">
        <v>854</v>
      </c>
      <c r="F391" s="1" t="s">
        <v>855</v>
      </c>
      <c r="I391" s="1"/>
      <c r="J391" s="1"/>
      <c r="K391" s="1"/>
      <c r="L391" s="1"/>
      <c r="O391" s="1"/>
      <c r="P391" s="1"/>
    </row>
    <row r="392" spans="1:16" x14ac:dyDescent="0.35">
      <c r="A392" s="1" t="s">
        <v>76</v>
      </c>
      <c r="B392" s="1" t="s">
        <v>80</v>
      </c>
      <c r="C392" s="1" t="s">
        <v>152</v>
      </c>
      <c r="D392" s="1" t="s">
        <v>153</v>
      </c>
      <c r="E392" s="1" t="s">
        <v>864</v>
      </c>
      <c r="F392" s="1" t="s">
        <v>865</v>
      </c>
      <c r="I392" s="1"/>
      <c r="J392" s="1"/>
      <c r="K392" s="1"/>
      <c r="L392" s="1"/>
      <c r="O392" s="1"/>
      <c r="P392" s="1"/>
    </row>
    <row r="393" spans="1:16" x14ac:dyDescent="0.35">
      <c r="A393" s="1" t="s">
        <v>76</v>
      </c>
      <c r="B393" s="1" t="s">
        <v>80</v>
      </c>
      <c r="C393" s="1" t="s">
        <v>152</v>
      </c>
      <c r="D393" s="1" t="s">
        <v>153</v>
      </c>
      <c r="E393" s="1" t="s">
        <v>866</v>
      </c>
      <c r="F393" s="1" t="s">
        <v>867</v>
      </c>
      <c r="I393" s="1"/>
      <c r="J393" s="1"/>
      <c r="K393" s="1"/>
      <c r="L393" s="1"/>
      <c r="O393" s="1"/>
      <c r="P393" s="1"/>
    </row>
    <row r="394" spans="1:16" x14ac:dyDescent="0.35">
      <c r="A394" s="1" t="s">
        <v>76</v>
      </c>
      <c r="B394" s="1" t="s">
        <v>80</v>
      </c>
      <c r="C394" s="1" t="s">
        <v>152</v>
      </c>
      <c r="D394" s="1" t="s">
        <v>153</v>
      </c>
      <c r="E394" s="1" t="s">
        <v>876</v>
      </c>
      <c r="F394" s="1" t="s">
        <v>877</v>
      </c>
      <c r="I394" s="1"/>
      <c r="J394" s="1"/>
      <c r="K394" s="1"/>
      <c r="L394" s="1"/>
      <c r="O394" s="1"/>
      <c r="P394" s="1"/>
    </row>
    <row r="395" spans="1:16" x14ac:dyDescent="0.35">
      <c r="A395" s="1" t="s">
        <v>76</v>
      </c>
      <c r="B395" s="1" t="s">
        <v>80</v>
      </c>
      <c r="C395" s="1" t="s">
        <v>152</v>
      </c>
      <c r="D395" s="1" t="s">
        <v>153</v>
      </c>
      <c r="E395" s="1" t="s">
        <v>1077</v>
      </c>
      <c r="F395" s="1" t="s">
        <v>1078</v>
      </c>
      <c r="I395" s="1"/>
      <c r="J395" s="1"/>
      <c r="K395" s="1"/>
      <c r="L395" s="1"/>
      <c r="O395" s="1"/>
      <c r="P395" s="1"/>
    </row>
    <row r="396" spans="1:16" x14ac:dyDescent="0.35">
      <c r="A396" s="1" t="s">
        <v>76</v>
      </c>
      <c r="B396" s="1" t="s">
        <v>80</v>
      </c>
      <c r="C396" s="1" t="s">
        <v>152</v>
      </c>
      <c r="D396" s="1" t="s">
        <v>153</v>
      </c>
      <c r="E396" s="1" t="s">
        <v>1195</v>
      </c>
      <c r="F396" s="1" t="s">
        <v>1196</v>
      </c>
      <c r="I396" s="1"/>
      <c r="J396" s="1"/>
      <c r="K396" s="1"/>
      <c r="L396" s="1"/>
      <c r="O396" s="1"/>
      <c r="P396" s="1"/>
    </row>
    <row r="397" spans="1:16" x14ac:dyDescent="0.35">
      <c r="A397" s="1" t="s">
        <v>76</v>
      </c>
      <c r="B397" s="1" t="s">
        <v>80</v>
      </c>
      <c r="C397" s="1" t="s">
        <v>152</v>
      </c>
      <c r="D397" s="1" t="s">
        <v>153</v>
      </c>
      <c r="E397" s="1" t="s">
        <v>1325</v>
      </c>
      <c r="F397" s="1" t="s">
        <v>1326</v>
      </c>
      <c r="I397" s="1"/>
      <c r="J397" s="1"/>
      <c r="K397" s="1"/>
      <c r="L397" s="1"/>
      <c r="O397" s="1"/>
      <c r="P397" s="1"/>
    </row>
    <row r="398" spans="1:16" x14ac:dyDescent="0.35">
      <c r="A398" s="1" t="s">
        <v>76</v>
      </c>
      <c r="B398" s="1" t="s">
        <v>80</v>
      </c>
      <c r="C398" s="1" t="s">
        <v>152</v>
      </c>
      <c r="D398" s="1" t="s">
        <v>153</v>
      </c>
      <c r="E398" s="1" t="s">
        <v>1375</v>
      </c>
      <c r="F398" s="1" t="s">
        <v>1376</v>
      </c>
      <c r="I398" s="1"/>
      <c r="J398" s="1"/>
      <c r="K398" s="1"/>
      <c r="L398" s="1"/>
      <c r="O398" s="1"/>
      <c r="P398" s="1"/>
    </row>
    <row r="399" spans="1:16" x14ac:dyDescent="0.35">
      <c r="A399" s="1" t="s">
        <v>76</v>
      </c>
      <c r="B399" s="1" t="s">
        <v>80</v>
      </c>
      <c r="C399" s="1" t="s">
        <v>154</v>
      </c>
      <c r="D399" s="1" t="s">
        <v>155</v>
      </c>
      <c r="E399" s="1" t="s">
        <v>228</v>
      </c>
      <c r="F399" s="1" t="s">
        <v>229</v>
      </c>
      <c r="I399" s="1"/>
      <c r="J399" s="1"/>
      <c r="K399" s="1"/>
      <c r="L399" s="1"/>
      <c r="O399" s="1"/>
      <c r="P399" s="1"/>
    </row>
    <row r="400" spans="1:16" x14ac:dyDescent="0.35">
      <c r="A400" s="1" t="s">
        <v>76</v>
      </c>
      <c r="B400" s="1" t="s">
        <v>80</v>
      </c>
      <c r="C400" s="1" t="s">
        <v>154</v>
      </c>
      <c r="D400" s="1" t="s">
        <v>155</v>
      </c>
      <c r="E400" s="1" t="s">
        <v>264</v>
      </c>
      <c r="F400" s="1" t="s">
        <v>265</v>
      </c>
      <c r="I400" s="1"/>
      <c r="J400" s="1"/>
      <c r="K400" s="1"/>
      <c r="L400" s="1"/>
      <c r="O400" s="1"/>
      <c r="P400" s="1"/>
    </row>
    <row r="401" spans="1:16" x14ac:dyDescent="0.35">
      <c r="A401" s="1" t="s">
        <v>76</v>
      </c>
      <c r="B401" s="1" t="s">
        <v>80</v>
      </c>
      <c r="C401" s="1" t="s">
        <v>154</v>
      </c>
      <c r="D401" s="1" t="s">
        <v>155</v>
      </c>
      <c r="E401" s="1" t="s">
        <v>437</v>
      </c>
      <c r="F401" s="1" t="s">
        <v>438</v>
      </c>
      <c r="I401" s="1"/>
      <c r="J401" s="1"/>
      <c r="K401" s="1"/>
      <c r="L401" s="1"/>
      <c r="O401" s="1"/>
      <c r="P401" s="1"/>
    </row>
    <row r="402" spans="1:16" x14ac:dyDescent="0.35">
      <c r="A402" s="1" t="s">
        <v>76</v>
      </c>
      <c r="B402" s="1" t="s">
        <v>80</v>
      </c>
      <c r="C402" s="1" t="s">
        <v>154</v>
      </c>
      <c r="D402" s="1" t="s">
        <v>155</v>
      </c>
      <c r="E402" s="1" t="s">
        <v>439</v>
      </c>
      <c r="F402" s="1" t="s">
        <v>440</v>
      </c>
      <c r="I402" s="1"/>
      <c r="J402" s="1"/>
      <c r="K402" s="1"/>
      <c r="L402" s="1"/>
      <c r="O402" s="1"/>
      <c r="P402" s="1"/>
    </row>
    <row r="403" spans="1:16" x14ac:dyDescent="0.35">
      <c r="A403" s="1" t="s">
        <v>76</v>
      </c>
      <c r="B403" s="1" t="s">
        <v>80</v>
      </c>
      <c r="C403" s="1" t="s">
        <v>154</v>
      </c>
      <c r="D403" s="1" t="s">
        <v>155</v>
      </c>
      <c r="E403" s="1" t="s">
        <v>825</v>
      </c>
      <c r="F403" s="1" t="s">
        <v>826</v>
      </c>
      <c r="I403" s="1"/>
      <c r="J403" s="1"/>
      <c r="K403" s="1"/>
      <c r="L403" s="1"/>
      <c r="O403" s="1"/>
      <c r="P403" s="1"/>
    </row>
    <row r="404" spans="1:16" x14ac:dyDescent="0.35">
      <c r="A404" s="1" t="s">
        <v>76</v>
      </c>
      <c r="B404" s="1" t="s">
        <v>80</v>
      </c>
      <c r="C404" s="1" t="s">
        <v>154</v>
      </c>
      <c r="D404" s="1" t="s">
        <v>155</v>
      </c>
      <c r="E404" s="1" t="s">
        <v>908</v>
      </c>
      <c r="F404" s="1" t="s">
        <v>909</v>
      </c>
      <c r="I404" s="1"/>
      <c r="J404" s="1"/>
      <c r="K404" s="1"/>
      <c r="L404" s="1"/>
      <c r="O404" s="1"/>
      <c r="P404" s="1"/>
    </row>
    <row r="405" spans="1:16" x14ac:dyDescent="0.35">
      <c r="A405" s="1" t="s">
        <v>76</v>
      </c>
      <c r="B405" s="1" t="s">
        <v>80</v>
      </c>
      <c r="C405" s="1" t="s">
        <v>154</v>
      </c>
      <c r="D405" s="1" t="s">
        <v>155</v>
      </c>
      <c r="E405" s="1" t="s">
        <v>154</v>
      </c>
      <c r="F405" s="1" t="s">
        <v>960</v>
      </c>
      <c r="I405" s="1"/>
      <c r="J405" s="1"/>
      <c r="K405" s="1"/>
      <c r="L405" s="1"/>
      <c r="O405" s="1"/>
      <c r="P405" s="1"/>
    </row>
    <row r="406" spans="1:16" x14ac:dyDescent="0.35">
      <c r="A406" s="1" t="s">
        <v>76</v>
      </c>
      <c r="B406" s="1" t="s">
        <v>80</v>
      </c>
      <c r="C406" s="1" t="s">
        <v>154</v>
      </c>
      <c r="D406" s="1" t="s">
        <v>155</v>
      </c>
      <c r="E406" s="1" t="s">
        <v>1112</v>
      </c>
      <c r="F406" s="1" t="s">
        <v>1113</v>
      </c>
      <c r="I406" s="1"/>
      <c r="J406" s="1"/>
      <c r="K406" s="1"/>
      <c r="L406" s="1"/>
      <c r="O406" s="1"/>
      <c r="P406" s="1"/>
    </row>
    <row r="407" spans="1:16" x14ac:dyDescent="0.35">
      <c r="A407" s="1" t="s">
        <v>76</v>
      </c>
      <c r="B407" s="1" t="s">
        <v>80</v>
      </c>
      <c r="C407" s="1" t="s">
        <v>154</v>
      </c>
      <c r="D407" s="1" t="s">
        <v>155</v>
      </c>
      <c r="E407" s="1" t="s">
        <v>1523</v>
      </c>
      <c r="F407" s="1" t="s">
        <v>1524</v>
      </c>
      <c r="I407" s="1"/>
      <c r="J407" s="1"/>
      <c r="K407" s="1"/>
      <c r="L407" s="1"/>
      <c r="O407" s="1"/>
      <c r="P407" s="1"/>
    </row>
    <row r="408" spans="1:16" x14ac:dyDescent="0.35">
      <c r="A408" s="1" t="s">
        <v>76</v>
      </c>
      <c r="B408" s="1" t="s">
        <v>80</v>
      </c>
      <c r="C408" s="1" t="s">
        <v>154</v>
      </c>
      <c r="D408" s="1" t="s">
        <v>155</v>
      </c>
      <c r="E408" s="1" t="s">
        <v>1529</v>
      </c>
      <c r="F408" s="1" t="s">
        <v>1530</v>
      </c>
      <c r="I408" s="1"/>
      <c r="J408" s="1"/>
      <c r="K408" s="1"/>
      <c r="L408" s="1"/>
      <c r="O408" s="1"/>
      <c r="P408" s="1"/>
    </row>
    <row r="409" spans="1:16" x14ac:dyDescent="0.35">
      <c r="A409" s="1" t="s">
        <v>76</v>
      </c>
      <c r="B409" s="1" t="s">
        <v>80</v>
      </c>
      <c r="C409" s="1" t="s">
        <v>154</v>
      </c>
      <c r="D409" s="1" t="s">
        <v>155</v>
      </c>
      <c r="E409" s="1" t="s">
        <v>1531</v>
      </c>
      <c r="F409" s="1" t="s">
        <v>1532</v>
      </c>
      <c r="I409" s="1"/>
      <c r="J409" s="1"/>
      <c r="K409" s="1"/>
      <c r="L409" s="1"/>
      <c r="O409" s="1"/>
      <c r="P409" s="1"/>
    </row>
    <row r="410" spans="1:16" x14ac:dyDescent="0.35">
      <c r="A410" s="1" t="s">
        <v>76</v>
      </c>
      <c r="B410" s="1" t="s">
        <v>80</v>
      </c>
      <c r="C410" s="1" t="s">
        <v>156</v>
      </c>
      <c r="D410" s="1" t="s">
        <v>157</v>
      </c>
      <c r="E410" s="1" t="s">
        <v>235</v>
      </c>
      <c r="F410" s="1" t="s">
        <v>236</v>
      </c>
      <c r="I410" s="1"/>
      <c r="J410" s="1"/>
      <c r="K410" s="1"/>
      <c r="L410" s="1"/>
      <c r="O410" s="1"/>
      <c r="P410" s="1"/>
    </row>
    <row r="411" spans="1:16" x14ac:dyDescent="0.35">
      <c r="A411" s="1" t="s">
        <v>76</v>
      </c>
      <c r="B411" s="1" t="s">
        <v>80</v>
      </c>
      <c r="C411" s="1" t="s">
        <v>156</v>
      </c>
      <c r="D411" s="1" t="s">
        <v>157</v>
      </c>
      <c r="E411" s="1" t="s">
        <v>276</v>
      </c>
      <c r="F411" s="1" t="s">
        <v>277</v>
      </c>
      <c r="I411" s="1"/>
      <c r="J411" s="1"/>
      <c r="K411" s="1"/>
      <c r="L411" s="1"/>
      <c r="O411" s="1"/>
      <c r="P411" s="1"/>
    </row>
    <row r="412" spans="1:16" x14ac:dyDescent="0.35">
      <c r="A412" s="1" t="s">
        <v>76</v>
      </c>
      <c r="B412" s="1" t="s">
        <v>80</v>
      </c>
      <c r="C412" s="1" t="s">
        <v>156</v>
      </c>
      <c r="D412" s="1" t="s">
        <v>157</v>
      </c>
      <c r="E412" s="1" t="s">
        <v>308</v>
      </c>
      <c r="F412" s="1" t="s">
        <v>309</v>
      </c>
      <c r="I412" s="1"/>
      <c r="J412" s="1"/>
      <c r="K412" s="1"/>
      <c r="L412" s="1"/>
      <c r="O412" s="1"/>
      <c r="P412" s="1"/>
    </row>
    <row r="413" spans="1:16" x14ac:dyDescent="0.35">
      <c r="A413" s="1" t="s">
        <v>76</v>
      </c>
      <c r="B413" s="1" t="s">
        <v>80</v>
      </c>
      <c r="C413" s="1" t="s">
        <v>156</v>
      </c>
      <c r="D413" s="1" t="s">
        <v>157</v>
      </c>
      <c r="E413" s="1" t="s">
        <v>399</v>
      </c>
      <c r="F413" s="1" t="s">
        <v>400</v>
      </c>
      <c r="I413" s="1"/>
      <c r="J413" s="1"/>
      <c r="K413" s="1"/>
      <c r="L413" s="1"/>
      <c r="O413" s="1"/>
      <c r="P413" s="1"/>
    </row>
    <row r="414" spans="1:16" x14ac:dyDescent="0.35">
      <c r="A414" s="1" t="s">
        <v>76</v>
      </c>
      <c r="B414" s="1" t="s">
        <v>80</v>
      </c>
      <c r="C414" s="1" t="s">
        <v>156</v>
      </c>
      <c r="D414" s="1" t="s">
        <v>157</v>
      </c>
      <c r="E414" s="1" t="s">
        <v>511</v>
      </c>
      <c r="F414" s="1" t="s">
        <v>512</v>
      </c>
      <c r="I414" s="1"/>
      <c r="J414" s="1"/>
      <c r="K414" s="1"/>
      <c r="L414" s="1"/>
      <c r="O414" s="1"/>
      <c r="P414" s="1"/>
    </row>
    <row r="415" spans="1:16" x14ac:dyDescent="0.35">
      <c r="A415" s="1" t="s">
        <v>76</v>
      </c>
      <c r="B415" s="1" t="s">
        <v>80</v>
      </c>
      <c r="C415" s="1" t="s">
        <v>156</v>
      </c>
      <c r="D415" s="1" t="s">
        <v>157</v>
      </c>
      <c r="E415" s="1" t="s">
        <v>521</v>
      </c>
      <c r="F415" s="1" t="s">
        <v>522</v>
      </c>
      <c r="I415" s="1"/>
      <c r="J415" s="1"/>
      <c r="K415" s="1"/>
      <c r="L415" s="1"/>
      <c r="O415" s="1"/>
      <c r="P415" s="1"/>
    </row>
    <row r="416" spans="1:16" x14ac:dyDescent="0.35">
      <c r="A416" s="1" t="s">
        <v>76</v>
      </c>
      <c r="B416" s="1" t="s">
        <v>80</v>
      </c>
      <c r="C416" s="1" t="s">
        <v>156</v>
      </c>
      <c r="D416" s="1" t="s">
        <v>157</v>
      </c>
      <c r="E416" s="1" t="s">
        <v>906</v>
      </c>
      <c r="F416" s="1" t="s">
        <v>907</v>
      </c>
      <c r="I416" s="1"/>
      <c r="J416" s="1"/>
      <c r="K416" s="1"/>
      <c r="L416" s="1"/>
      <c r="O416" s="1"/>
      <c r="P416" s="1"/>
    </row>
    <row r="417" spans="1:16" x14ac:dyDescent="0.35">
      <c r="A417" s="1" t="s">
        <v>76</v>
      </c>
      <c r="B417" s="1" t="s">
        <v>80</v>
      </c>
      <c r="C417" s="1" t="s">
        <v>156</v>
      </c>
      <c r="D417" s="1" t="s">
        <v>157</v>
      </c>
      <c r="E417" s="1" t="s">
        <v>912</v>
      </c>
      <c r="F417" s="1" t="s">
        <v>913</v>
      </c>
      <c r="I417" s="1"/>
      <c r="J417" s="1"/>
      <c r="K417" s="1"/>
      <c r="L417" s="1"/>
      <c r="O417" s="1"/>
      <c r="P417" s="1"/>
    </row>
    <row r="418" spans="1:16" x14ac:dyDescent="0.35">
      <c r="A418" s="1" t="s">
        <v>76</v>
      </c>
      <c r="B418" s="1" t="s">
        <v>80</v>
      </c>
      <c r="C418" s="1" t="s">
        <v>156</v>
      </c>
      <c r="D418" s="1" t="s">
        <v>157</v>
      </c>
      <c r="E418" s="1" t="s">
        <v>156</v>
      </c>
      <c r="F418" s="1" t="s">
        <v>985</v>
      </c>
      <c r="I418" s="1"/>
      <c r="J418" s="1"/>
      <c r="K418" s="1"/>
      <c r="L418" s="1"/>
      <c r="O418" s="1"/>
      <c r="P418" s="1"/>
    </row>
    <row r="419" spans="1:16" x14ac:dyDescent="0.35">
      <c r="A419" s="1" t="s">
        <v>76</v>
      </c>
      <c r="B419" s="1" t="s">
        <v>80</v>
      </c>
      <c r="C419" s="1" t="s">
        <v>156</v>
      </c>
      <c r="D419" s="1" t="s">
        <v>157</v>
      </c>
      <c r="E419" s="1" t="s">
        <v>1560</v>
      </c>
      <c r="F419" s="1" t="s">
        <v>1561</v>
      </c>
      <c r="I419" s="1"/>
      <c r="J419" s="1"/>
      <c r="K419" s="1"/>
      <c r="L419" s="1"/>
      <c r="O419" s="1"/>
      <c r="P419" s="1"/>
    </row>
    <row r="420" spans="1:16" x14ac:dyDescent="0.35">
      <c r="A420" s="1" t="s">
        <v>76</v>
      </c>
      <c r="B420" s="1" t="s">
        <v>80</v>
      </c>
      <c r="C420" s="1" t="s">
        <v>158</v>
      </c>
      <c r="D420" s="1" t="s">
        <v>159</v>
      </c>
      <c r="E420" s="1" t="s">
        <v>325</v>
      </c>
      <c r="F420" s="1" t="s">
        <v>326</v>
      </c>
      <c r="I420" s="1"/>
      <c r="J420" s="1"/>
      <c r="K420" s="1"/>
      <c r="L420" s="1"/>
      <c r="O420" s="1"/>
      <c r="P420" s="1"/>
    </row>
    <row r="421" spans="1:16" x14ac:dyDescent="0.35">
      <c r="A421" s="1" t="s">
        <v>76</v>
      </c>
      <c r="B421" s="1" t="s">
        <v>80</v>
      </c>
      <c r="C421" s="1" t="s">
        <v>158</v>
      </c>
      <c r="D421" s="1" t="s">
        <v>159</v>
      </c>
      <c r="E421" s="1" t="s">
        <v>742</v>
      </c>
      <c r="F421" s="1" t="s">
        <v>743</v>
      </c>
      <c r="I421" s="1"/>
      <c r="J421" s="1"/>
      <c r="K421" s="1"/>
      <c r="L421" s="1"/>
      <c r="O421" s="1"/>
      <c r="P421" s="1"/>
    </row>
    <row r="422" spans="1:16" x14ac:dyDescent="0.35">
      <c r="A422" s="1" t="s">
        <v>76</v>
      </c>
      <c r="B422" s="1" t="s">
        <v>80</v>
      </c>
      <c r="C422" s="1" t="s">
        <v>158</v>
      </c>
      <c r="D422" s="1" t="s">
        <v>159</v>
      </c>
      <c r="E422" s="1" t="s">
        <v>763</v>
      </c>
      <c r="F422" s="1" t="s">
        <v>764</v>
      </c>
      <c r="I422" s="1"/>
      <c r="J422" s="1"/>
      <c r="K422" s="1"/>
      <c r="L422" s="1"/>
      <c r="O422" s="1"/>
      <c r="P422" s="1"/>
    </row>
    <row r="423" spans="1:16" x14ac:dyDescent="0.35">
      <c r="A423" s="1" t="s">
        <v>76</v>
      </c>
      <c r="B423" s="1" t="s">
        <v>80</v>
      </c>
      <c r="C423" s="1" t="s">
        <v>158</v>
      </c>
      <c r="D423" s="1" t="s">
        <v>159</v>
      </c>
      <c r="E423" s="1" t="s">
        <v>975</v>
      </c>
      <c r="F423" s="1" t="s">
        <v>976</v>
      </c>
      <c r="I423" s="1"/>
      <c r="J423" s="1"/>
      <c r="K423" s="1"/>
      <c r="L423" s="1"/>
      <c r="O423" s="1"/>
      <c r="P423" s="1"/>
    </row>
    <row r="424" spans="1:16" x14ac:dyDescent="0.35">
      <c r="A424" s="1" t="s">
        <v>76</v>
      </c>
      <c r="B424" s="1" t="s">
        <v>80</v>
      </c>
      <c r="C424" s="1" t="s">
        <v>158</v>
      </c>
      <c r="D424" s="1" t="s">
        <v>159</v>
      </c>
      <c r="E424" s="1" t="s">
        <v>1002</v>
      </c>
      <c r="F424" s="1" t="s">
        <v>1003</v>
      </c>
      <c r="I424" s="1"/>
      <c r="J424" s="1"/>
      <c r="K424" s="1"/>
      <c r="L424" s="1"/>
      <c r="O424" s="1"/>
      <c r="P424" s="1"/>
    </row>
    <row r="425" spans="1:16" x14ac:dyDescent="0.35">
      <c r="A425" s="1" t="s">
        <v>76</v>
      </c>
      <c r="B425" s="1" t="s">
        <v>80</v>
      </c>
      <c r="C425" s="1" t="s">
        <v>158</v>
      </c>
      <c r="D425" s="1" t="s">
        <v>159</v>
      </c>
      <c r="E425" s="1" t="s">
        <v>158</v>
      </c>
      <c r="F425" s="1" t="s">
        <v>1017</v>
      </c>
      <c r="I425" s="1"/>
      <c r="J425" s="1"/>
      <c r="K425" s="1"/>
      <c r="L425" s="1"/>
      <c r="O425" s="1"/>
      <c r="P425" s="1"/>
    </row>
    <row r="426" spans="1:16" x14ac:dyDescent="0.35">
      <c r="A426" s="1" t="s">
        <v>76</v>
      </c>
      <c r="B426" s="1" t="s">
        <v>80</v>
      </c>
      <c r="C426" s="1" t="s">
        <v>158</v>
      </c>
      <c r="D426" s="1" t="s">
        <v>159</v>
      </c>
      <c r="E426" s="1" t="s">
        <v>1317</v>
      </c>
      <c r="F426" s="1" t="s">
        <v>1318</v>
      </c>
      <c r="I426" s="1"/>
      <c r="J426" s="1"/>
      <c r="K426" s="1"/>
      <c r="L426" s="1"/>
      <c r="O426" s="1"/>
      <c r="P426" s="1"/>
    </row>
    <row r="427" spans="1:16" x14ac:dyDescent="0.35">
      <c r="A427" s="1" t="s">
        <v>76</v>
      </c>
      <c r="B427" s="1" t="s">
        <v>80</v>
      </c>
      <c r="C427" s="1" t="s">
        <v>158</v>
      </c>
      <c r="D427" s="1" t="s">
        <v>159</v>
      </c>
      <c r="E427" s="1" t="s">
        <v>1475</v>
      </c>
      <c r="F427" s="1" t="s">
        <v>1476</v>
      </c>
      <c r="I427" s="1"/>
      <c r="J427" s="1"/>
      <c r="K427" s="1"/>
      <c r="L427" s="1"/>
      <c r="O427" s="1"/>
      <c r="P427" s="1"/>
    </row>
    <row r="428" spans="1:16" x14ac:dyDescent="0.35">
      <c r="A428" s="1" t="s">
        <v>76</v>
      </c>
      <c r="B428" s="1" t="s">
        <v>80</v>
      </c>
      <c r="C428" s="1" t="s">
        <v>158</v>
      </c>
      <c r="D428" s="1" t="s">
        <v>159</v>
      </c>
      <c r="E428" s="1" t="s">
        <v>1505</v>
      </c>
      <c r="F428" s="1" t="s">
        <v>1506</v>
      </c>
      <c r="I428" s="1"/>
      <c r="J428" s="1"/>
      <c r="K428" s="1"/>
      <c r="L428" s="1"/>
      <c r="O428" s="1"/>
      <c r="P428" s="1"/>
    </row>
    <row r="429" spans="1:16" x14ac:dyDescent="0.35">
      <c r="A429" s="1" t="s">
        <v>76</v>
      </c>
      <c r="B429" s="1" t="s">
        <v>80</v>
      </c>
      <c r="C429" s="1" t="s">
        <v>158</v>
      </c>
      <c r="D429" s="1" t="s">
        <v>159</v>
      </c>
      <c r="E429" s="1" t="s">
        <v>1552</v>
      </c>
      <c r="F429" s="1" t="s">
        <v>1553</v>
      </c>
      <c r="I429" s="1"/>
      <c r="J429" s="1"/>
      <c r="K429" s="1"/>
      <c r="L429" s="1"/>
      <c r="O429" s="1"/>
      <c r="P429" s="1"/>
    </row>
    <row r="430" spans="1:16" x14ac:dyDescent="0.35">
      <c r="A430" s="1" t="s">
        <v>76</v>
      </c>
      <c r="B430" s="1" t="s">
        <v>80</v>
      </c>
      <c r="C430" s="1" t="s">
        <v>160</v>
      </c>
      <c r="D430" s="1" t="s">
        <v>161</v>
      </c>
      <c r="E430" s="1" t="s">
        <v>228</v>
      </c>
      <c r="F430" s="1" t="s">
        <v>230</v>
      </c>
      <c r="I430" s="1"/>
      <c r="J430" s="1"/>
      <c r="K430" s="1"/>
      <c r="L430" s="1"/>
      <c r="O430" s="1"/>
      <c r="P430" s="1"/>
    </row>
    <row r="431" spans="1:16" x14ac:dyDescent="0.35">
      <c r="A431" s="1" t="s">
        <v>76</v>
      </c>
      <c r="B431" s="1" t="s">
        <v>80</v>
      </c>
      <c r="C431" s="1" t="s">
        <v>160</v>
      </c>
      <c r="D431" s="1" t="s">
        <v>161</v>
      </c>
      <c r="E431" s="1" t="s">
        <v>655</v>
      </c>
      <c r="F431" s="1" t="s">
        <v>656</v>
      </c>
      <c r="I431" s="1"/>
      <c r="J431" s="1"/>
      <c r="K431" s="1"/>
      <c r="L431" s="1"/>
      <c r="O431" s="1"/>
      <c r="P431" s="1"/>
    </row>
    <row r="432" spans="1:16" x14ac:dyDescent="0.35">
      <c r="A432" s="1" t="s">
        <v>76</v>
      </c>
      <c r="B432" s="1" t="s">
        <v>80</v>
      </c>
      <c r="C432" s="1" t="s">
        <v>160</v>
      </c>
      <c r="D432" s="1" t="s">
        <v>161</v>
      </c>
      <c r="E432" s="1" t="s">
        <v>969</v>
      </c>
      <c r="F432" s="1" t="s">
        <v>970</v>
      </c>
      <c r="I432" s="1"/>
      <c r="J432" s="1"/>
      <c r="K432" s="1"/>
      <c r="L432" s="1"/>
      <c r="O432" s="1"/>
      <c r="P432" s="1"/>
    </row>
    <row r="433" spans="1:16" x14ac:dyDescent="0.35">
      <c r="A433" s="1" t="s">
        <v>76</v>
      </c>
      <c r="B433" s="1" t="s">
        <v>80</v>
      </c>
      <c r="C433" s="1" t="s">
        <v>160</v>
      </c>
      <c r="D433" s="1" t="s">
        <v>161</v>
      </c>
      <c r="E433" s="1" t="s">
        <v>1044</v>
      </c>
      <c r="F433" s="1" t="s">
        <v>1045</v>
      </c>
      <c r="I433" s="1"/>
      <c r="J433" s="1"/>
      <c r="K433" s="1"/>
      <c r="L433" s="1"/>
      <c r="O433" s="1"/>
      <c r="P433" s="1"/>
    </row>
    <row r="434" spans="1:16" x14ac:dyDescent="0.35">
      <c r="A434" s="1" t="s">
        <v>76</v>
      </c>
      <c r="B434" s="1" t="s">
        <v>80</v>
      </c>
      <c r="C434" s="1" t="s">
        <v>160</v>
      </c>
      <c r="D434" s="1" t="s">
        <v>161</v>
      </c>
      <c r="E434" s="1" t="s">
        <v>1052</v>
      </c>
      <c r="F434" s="1" t="s">
        <v>1054</v>
      </c>
      <c r="I434" s="1"/>
      <c r="J434" s="1"/>
      <c r="K434" s="1"/>
      <c r="L434" s="1"/>
      <c r="O434" s="1"/>
      <c r="P434" s="1"/>
    </row>
    <row r="435" spans="1:16" x14ac:dyDescent="0.35">
      <c r="A435" s="1" t="s">
        <v>76</v>
      </c>
      <c r="B435" s="1" t="s">
        <v>80</v>
      </c>
      <c r="C435" s="1" t="s">
        <v>160</v>
      </c>
      <c r="D435" s="1" t="s">
        <v>161</v>
      </c>
      <c r="E435" s="1" t="s">
        <v>1064</v>
      </c>
      <c r="F435" s="1" t="s">
        <v>1065</v>
      </c>
      <c r="I435" s="1"/>
      <c r="J435" s="1"/>
      <c r="K435" s="1"/>
      <c r="L435" s="1"/>
      <c r="O435" s="1"/>
      <c r="P435" s="1"/>
    </row>
    <row r="436" spans="1:16" x14ac:dyDescent="0.35">
      <c r="A436" s="1" t="s">
        <v>76</v>
      </c>
      <c r="B436" s="1" t="s">
        <v>80</v>
      </c>
      <c r="C436" s="1" t="s">
        <v>160</v>
      </c>
      <c r="D436" s="1" t="s">
        <v>161</v>
      </c>
      <c r="E436" s="1" t="s">
        <v>1072</v>
      </c>
      <c r="F436" s="1" t="s">
        <v>1073</v>
      </c>
      <c r="I436" s="1"/>
      <c r="J436" s="1"/>
      <c r="K436" s="1"/>
      <c r="L436" s="1"/>
      <c r="O436" s="1"/>
      <c r="P436" s="1"/>
    </row>
    <row r="437" spans="1:16" x14ac:dyDescent="0.35">
      <c r="A437" s="1" t="s">
        <v>76</v>
      </c>
      <c r="B437" s="1" t="s">
        <v>80</v>
      </c>
      <c r="C437" s="1" t="s">
        <v>160</v>
      </c>
      <c r="D437" s="1" t="s">
        <v>161</v>
      </c>
      <c r="E437" s="1" t="s">
        <v>160</v>
      </c>
      <c r="F437" s="1" t="s">
        <v>1082</v>
      </c>
      <c r="I437" s="1"/>
      <c r="J437" s="1"/>
      <c r="K437" s="1"/>
      <c r="L437" s="1"/>
      <c r="O437" s="1"/>
      <c r="P437" s="1"/>
    </row>
    <row r="438" spans="1:16" x14ac:dyDescent="0.35">
      <c r="A438" s="1" t="s">
        <v>76</v>
      </c>
      <c r="B438" s="1" t="s">
        <v>80</v>
      </c>
      <c r="C438" s="1" t="s">
        <v>160</v>
      </c>
      <c r="D438" s="1" t="s">
        <v>161</v>
      </c>
      <c r="E438" s="1" t="s">
        <v>1145</v>
      </c>
      <c r="F438" s="1" t="s">
        <v>1146</v>
      </c>
      <c r="I438" s="1"/>
      <c r="J438" s="1"/>
      <c r="K438" s="1"/>
      <c r="L438" s="1"/>
      <c r="O438" s="1"/>
      <c r="P438" s="1"/>
    </row>
    <row r="439" spans="1:16" x14ac:dyDescent="0.35">
      <c r="A439" s="1" t="s">
        <v>76</v>
      </c>
      <c r="B439" s="1" t="s">
        <v>80</v>
      </c>
      <c r="C439" s="1" t="s">
        <v>160</v>
      </c>
      <c r="D439" s="1" t="s">
        <v>161</v>
      </c>
      <c r="E439" s="1" t="s">
        <v>1210</v>
      </c>
      <c r="F439" s="1" t="s">
        <v>1211</v>
      </c>
      <c r="I439" s="1"/>
      <c r="J439" s="1"/>
      <c r="K439" s="1"/>
      <c r="L439" s="1"/>
      <c r="O439" s="1"/>
      <c r="P439" s="1"/>
    </row>
    <row r="440" spans="1:16" x14ac:dyDescent="0.35">
      <c r="A440" s="1" t="s">
        <v>76</v>
      </c>
      <c r="B440" s="1" t="s">
        <v>80</v>
      </c>
      <c r="C440" s="1" t="s">
        <v>160</v>
      </c>
      <c r="D440" s="1" t="s">
        <v>161</v>
      </c>
      <c r="E440" s="1" t="s">
        <v>1417</v>
      </c>
      <c r="F440" s="1" t="s">
        <v>1418</v>
      </c>
      <c r="I440" s="1"/>
      <c r="J440" s="1"/>
      <c r="K440" s="1"/>
      <c r="L440" s="1"/>
      <c r="O440" s="1"/>
      <c r="P440" s="1"/>
    </row>
    <row r="441" spans="1:16" x14ac:dyDescent="0.35">
      <c r="A441" s="1" t="s">
        <v>76</v>
      </c>
      <c r="B441" s="1" t="s">
        <v>80</v>
      </c>
      <c r="C441" s="1" t="s">
        <v>160</v>
      </c>
      <c r="D441" s="1" t="s">
        <v>161</v>
      </c>
      <c r="E441" s="1" t="s">
        <v>1575</v>
      </c>
      <c r="F441" s="1" t="s">
        <v>1576</v>
      </c>
      <c r="I441" s="1"/>
      <c r="J441" s="1"/>
      <c r="K441" s="1"/>
      <c r="L441" s="1"/>
      <c r="O441" s="1"/>
      <c r="P441" s="1"/>
    </row>
    <row r="442" spans="1:16" x14ac:dyDescent="0.35">
      <c r="A442" s="1" t="s">
        <v>76</v>
      </c>
      <c r="B442" s="1" t="s">
        <v>80</v>
      </c>
      <c r="C442" s="1" t="s">
        <v>162</v>
      </c>
      <c r="D442" s="1" t="s">
        <v>163</v>
      </c>
      <c r="E442" s="1" t="s">
        <v>250</v>
      </c>
      <c r="F442" s="1" t="s">
        <v>251</v>
      </c>
      <c r="I442" s="1"/>
      <c r="J442" s="1"/>
      <c r="K442" s="1"/>
      <c r="L442" s="1"/>
      <c r="O442" s="1"/>
      <c r="P442" s="1"/>
    </row>
    <row r="443" spans="1:16" x14ac:dyDescent="0.35">
      <c r="A443" s="1" t="s">
        <v>76</v>
      </c>
      <c r="B443" s="1" t="s">
        <v>80</v>
      </c>
      <c r="C443" s="1" t="s">
        <v>162</v>
      </c>
      <c r="D443" s="1" t="s">
        <v>163</v>
      </c>
      <c r="E443" s="1" t="s">
        <v>266</v>
      </c>
      <c r="F443" s="1" t="s">
        <v>267</v>
      </c>
      <c r="I443" s="1"/>
      <c r="J443" s="1"/>
      <c r="K443" s="1"/>
      <c r="L443" s="1"/>
      <c r="O443" s="1"/>
      <c r="P443" s="1"/>
    </row>
    <row r="444" spans="1:16" x14ac:dyDescent="0.35">
      <c r="A444" s="1" t="s">
        <v>76</v>
      </c>
      <c r="B444" s="1" t="s">
        <v>80</v>
      </c>
      <c r="C444" s="1" t="s">
        <v>162</v>
      </c>
      <c r="D444" s="1" t="s">
        <v>163</v>
      </c>
      <c r="E444" s="1" t="s">
        <v>371</v>
      </c>
      <c r="F444" s="1" t="s">
        <v>372</v>
      </c>
      <c r="I444" s="1"/>
      <c r="J444" s="1"/>
      <c r="K444" s="1"/>
      <c r="L444" s="1"/>
      <c r="O444" s="1"/>
      <c r="P444" s="1"/>
    </row>
    <row r="445" spans="1:16" x14ac:dyDescent="0.35">
      <c r="A445" s="1" t="s">
        <v>76</v>
      </c>
      <c r="B445" s="1" t="s">
        <v>80</v>
      </c>
      <c r="C445" s="1" t="s">
        <v>162</v>
      </c>
      <c r="D445" s="1" t="s">
        <v>163</v>
      </c>
      <c r="E445" s="1" t="s">
        <v>574</v>
      </c>
      <c r="F445" s="1" t="s">
        <v>575</v>
      </c>
      <c r="I445" s="1"/>
      <c r="J445" s="1"/>
      <c r="K445" s="1"/>
      <c r="L445" s="1"/>
      <c r="O445" s="1"/>
      <c r="P445" s="1"/>
    </row>
    <row r="446" spans="1:16" x14ac:dyDescent="0.35">
      <c r="A446" s="1" t="s">
        <v>76</v>
      </c>
      <c r="B446" s="1" t="s">
        <v>80</v>
      </c>
      <c r="C446" s="1" t="s">
        <v>162</v>
      </c>
      <c r="D446" s="1" t="s">
        <v>163</v>
      </c>
      <c r="E446" s="1" t="s">
        <v>596</v>
      </c>
      <c r="F446" s="1" t="s">
        <v>597</v>
      </c>
      <c r="I446" s="1"/>
      <c r="J446" s="1"/>
      <c r="K446" s="1"/>
      <c r="L446" s="1"/>
      <c r="O446" s="1"/>
      <c r="P446" s="1"/>
    </row>
    <row r="447" spans="1:16" x14ac:dyDescent="0.35">
      <c r="A447" s="1" t="s">
        <v>76</v>
      </c>
      <c r="B447" s="1" t="s">
        <v>80</v>
      </c>
      <c r="C447" s="1" t="s">
        <v>162</v>
      </c>
      <c r="D447" s="1" t="s">
        <v>163</v>
      </c>
      <c r="E447" s="1" t="s">
        <v>801</v>
      </c>
      <c r="F447" s="1" t="s">
        <v>802</v>
      </c>
      <c r="I447" s="1"/>
      <c r="J447" s="1"/>
      <c r="K447" s="1"/>
      <c r="L447" s="1"/>
      <c r="O447" s="1"/>
      <c r="P447" s="1"/>
    </row>
    <row r="448" spans="1:16" x14ac:dyDescent="0.35">
      <c r="A448" s="1" t="s">
        <v>76</v>
      </c>
      <c r="B448" s="1" t="s">
        <v>80</v>
      </c>
      <c r="C448" s="1" t="s">
        <v>162</v>
      </c>
      <c r="D448" s="1" t="s">
        <v>163</v>
      </c>
      <c r="E448" s="1" t="s">
        <v>882</v>
      </c>
      <c r="F448" s="1" t="s">
        <v>883</v>
      </c>
      <c r="I448" s="1"/>
      <c r="J448" s="1"/>
      <c r="K448" s="1"/>
      <c r="L448" s="1"/>
      <c r="O448" s="1"/>
      <c r="P448" s="1"/>
    </row>
    <row r="449" spans="1:16" x14ac:dyDescent="0.35">
      <c r="A449" s="1" t="s">
        <v>76</v>
      </c>
      <c r="B449" s="1" t="s">
        <v>80</v>
      </c>
      <c r="C449" s="1" t="s">
        <v>162</v>
      </c>
      <c r="D449" s="1" t="s">
        <v>163</v>
      </c>
      <c r="E449" s="1" t="s">
        <v>888</v>
      </c>
      <c r="F449" s="1" t="s">
        <v>889</v>
      </c>
      <c r="I449" s="1"/>
      <c r="J449" s="1"/>
      <c r="K449" s="1"/>
      <c r="L449" s="1"/>
      <c r="O449" s="1"/>
      <c r="P449" s="1"/>
    </row>
    <row r="450" spans="1:16" x14ac:dyDescent="0.35">
      <c r="A450" s="1" t="s">
        <v>76</v>
      </c>
      <c r="B450" s="1" t="s">
        <v>80</v>
      </c>
      <c r="C450" s="1" t="s">
        <v>162</v>
      </c>
      <c r="D450" s="1" t="s">
        <v>163</v>
      </c>
      <c r="E450" s="1" t="s">
        <v>998</v>
      </c>
      <c r="F450" s="1" t="s">
        <v>999</v>
      </c>
      <c r="I450" s="1"/>
      <c r="J450" s="1"/>
      <c r="K450" s="1"/>
      <c r="L450" s="1"/>
      <c r="O450" s="1"/>
      <c r="P450" s="1"/>
    </row>
    <row r="451" spans="1:16" x14ac:dyDescent="0.35">
      <c r="A451" s="1" t="s">
        <v>76</v>
      </c>
      <c r="B451" s="1" t="s">
        <v>80</v>
      </c>
      <c r="C451" s="1" t="s">
        <v>162</v>
      </c>
      <c r="D451" s="1" t="s">
        <v>163</v>
      </c>
      <c r="E451" s="1" t="s">
        <v>162</v>
      </c>
      <c r="F451" s="1" t="s">
        <v>1086</v>
      </c>
      <c r="I451" s="1"/>
      <c r="J451" s="1"/>
      <c r="K451" s="1"/>
      <c r="L451" s="1"/>
      <c r="O451" s="1"/>
      <c r="P451" s="1"/>
    </row>
    <row r="452" spans="1:16" x14ac:dyDescent="0.35">
      <c r="A452" s="1" t="s">
        <v>76</v>
      </c>
      <c r="B452" s="1" t="s">
        <v>80</v>
      </c>
      <c r="C452" s="1" t="s">
        <v>162</v>
      </c>
      <c r="D452" s="1" t="s">
        <v>163</v>
      </c>
      <c r="E452" s="1" t="s">
        <v>1249</v>
      </c>
      <c r="F452" s="1" t="s">
        <v>1250</v>
      </c>
      <c r="I452" s="1"/>
      <c r="J452" s="1"/>
      <c r="K452" s="1"/>
      <c r="L452" s="1"/>
      <c r="O452" s="1"/>
      <c r="P452" s="1"/>
    </row>
    <row r="453" spans="1:16" x14ac:dyDescent="0.35">
      <c r="A453" s="1" t="s">
        <v>76</v>
      </c>
      <c r="B453" s="1" t="s">
        <v>80</v>
      </c>
      <c r="C453" s="1" t="s">
        <v>162</v>
      </c>
      <c r="D453" s="1" t="s">
        <v>163</v>
      </c>
      <c r="E453" s="1" t="s">
        <v>1271</v>
      </c>
      <c r="F453" s="1" t="s">
        <v>1272</v>
      </c>
      <c r="I453" s="1"/>
      <c r="J453" s="1"/>
      <c r="K453" s="1"/>
      <c r="L453" s="1"/>
      <c r="O453" s="1"/>
      <c r="P453" s="1"/>
    </row>
    <row r="454" spans="1:16" x14ac:dyDescent="0.35">
      <c r="A454" s="1" t="s">
        <v>76</v>
      </c>
      <c r="B454" s="1" t="s">
        <v>80</v>
      </c>
      <c r="C454" s="1" t="s">
        <v>162</v>
      </c>
      <c r="D454" s="1" t="s">
        <v>163</v>
      </c>
      <c r="E454" s="1" t="s">
        <v>1431</v>
      </c>
      <c r="F454" s="1" t="s">
        <v>1432</v>
      </c>
      <c r="I454" s="1"/>
      <c r="J454" s="1"/>
      <c r="K454" s="1"/>
      <c r="L454" s="1"/>
      <c r="O454" s="1"/>
      <c r="P454" s="1"/>
    </row>
    <row r="455" spans="1:16" x14ac:dyDescent="0.35">
      <c r="A455" s="1" t="s">
        <v>76</v>
      </c>
      <c r="B455" s="1" t="s">
        <v>80</v>
      </c>
      <c r="C455" s="1" t="s">
        <v>164</v>
      </c>
      <c r="D455" s="1" t="s">
        <v>165</v>
      </c>
      <c r="E455" s="1" t="s">
        <v>361</v>
      </c>
      <c r="F455" s="1" t="s">
        <v>362</v>
      </c>
      <c r="I455" s="1"/>
      <c r="J455" s="1"/>
      <c r="K455" s="1"/>
      <c r="L455" s="1"/>
      <c r="O455" s="1"/>
      <c r="P455" s="1"/>
    </row>
    <row r="456" spans="1:16" x14ac:dyDescent="0.35">
      <c r="A456" s="1" t="s">
        <v>76</v>
      </c>
      <c r="B456" s="1" t="s">
        <v>80</v>
      </c>
      <c r="C456" s="1" t="s">
        <v>164</v>
      </c>
      <c r="D456" s="1" t="s">
        <v>165</v>
      </c>
      <c r="E456" s="1" t="s">
        <v>363</v>
      </c>
      <c r="F456" s="1" t="s">
        <v>364</v>
      </c>
      <c r="I456" s="1"/>
      <c r="J456" s="1"/>
      <c r="K456" s="1"/>
      <c r="L456" s="1"/>
      <c r="O456" s="1"/>
      <c r="P456" s="1"/>
    </row>
    <row r="457" spans="1:16" x14ac:dyDescent="0.35">
      <c r="A457" s="1" t="s">
        <v>76</v>
      </c>
      <c r="B457" s="1" t="s">
        <v>80</v>
      </c>
      <c r="C457" s="1" t="s">
        <v>164</v>
      </c>
      <c r="D457" s="1" t="s">
        <v>165</v>
      </c>
      <c r="E457" s="1" t="s">
        <v>383</v>
      </c>
      <c r="F457" s="1" t="s">
        <v>385</v>
      </c>
      <c r="I457" s="1"/>
      <c r="J457" s="1"/>
      <c r="K457" s="1"/>
      <c r="L457" s="1"/>
      <c r="O457" s="1"/>
      <c r="P457" s="1"/>
    </row>
    <row r="458" spans="1:16" x14ac:dyDescent="0.35">
      <c r="A458" s="1" t="s">
        <v>76</v>
      </c>
      <c r="B458" s="1" t="s">
        <v>80</v>
      </c>
      <c r="C458" s="1" t="s">
        <v>164</v>
      </c>
      <c r="D458" s="1" t="s">
        <v>165</v>
      </c>
      <c r="E458" s="1" t="s">
        <v>563</v>
      </c>
      <c r="F458" s="1" t="s">
        <v>564</v>
      </c>
      <c r="I458" s="1"/>
      <c r="J458" s="1"/>
      <c r="K458" s="1"/>
      <c r="L458" s="1"/>
      <c r="O458" s="1"/>
      <c r="P458" s="1"/>
    </row>
    <row r="459" spans="1:16" x14ac:dyDescent="0.35">
      <c r="A459" s="1" t="s">
        <v>76</v>
      </c>
      <c r="B459" s="1" t="s">
        <v>80</v>
      </c>
      <c r="C459" s="1" t="s">
        <v>164</v>
      </c>
      <c r="D459" s="1" t="s">
        <v>165</v>
      </c>
      <c r="E459" s="1" t="s">
        <v>614</v>
      </c>
      <c r="F459" s="1" t="s">
        <v>615</v>
      </c>
      <c r="I459" s="1"/>
      <c r="J459" s="1"/>
      <c r="K459" s="1"/>
      <c r="L459" s="1"/>
      <c r="O459" s="1"/>
      <c r="P459" s="1"/>
    </row>
    <row r="460" spans="1:16" x14ac:dyDescent="0.35">
      <c r="A460" s="1" t="s">
        <v>76</v>
      </c>
      <c r="B460" s="1" t="s">
        <v>80</v>
      </c>
      <c r="C460" s="1" t="s">
        <v>164</v>
      </c>
      <c r="D460" s="1" t="s">
        <v>165</v>
      </c>
      <c r="E460" s="1" t="s">
        <v>767</v>
      </c>
      <c r="F460" s="1" t="s">
        <v>768</v>
      </c>
      <c r="I460" s="1"/>
      <c r="J460" s="1"/>
      <c r="K460" s="1"/>
      <c r="L460" s="1"/>
      <c r="O460" s="1"/>
      <c r="P460" s="1"/>
    </row>
    <row r="461" spans="1:16" x14ac:dyDescent="0.35">
      <c r="A461" s="1" t="s">
        <v>76</v>
      </c>
      <c r="B461" s="1" t="s">
        <v>80</v>
      </c>
      <c r="C461" s="1" t="s">
        <v>164</v>
      </c>
      <c r="D461" s="1" t="s">
        <v>165</v>
      </c>
      <c r="E461" s="1" t="s">
        <v>769</v>
      </c>
      <c r="F461" s="1" t="s">
        <v>770</v>
      </c>
      <c r="I461" s="1"/>
      <c r="J461" s="1"/>
      <c r="K461" s="1"/>
      <c r="L461" s="1"/>
      <c r="O461" s="1"/>
      <c r="P461" s="1"/>
    </row>
    <row r="462" spans="1:16" x14ac:dyDescent="0.35">
      <c r="A462" s="1" t="s">
        <v>76</v>
      </c>
      <c r="B462" s="1" t="s">
        <v>80</v>
      </c>
      <c r="C462" s="1" t="s">
        <v>164</v>
      </c>
      <c r="D462" s="1" t="s">
        <v>165</v>
      </c>
      <c r="E462" s="1" t="s">
        <v>771</v>
      </c>
      <c r="F462" s="1" t="s">
        <v>772</v>
      </c>
      <c r="I462" s="1"/>
      <c r="J462" s="1"/>
      <c r="K462" s="1"/>
      <c r="L462" s="1"/>
      <c r="O462" s="1"/>
      <c r="P462" s="1"/>
    </row>
    <row r="463" spans="1:16" x14ac:dyDescent="0.35">
      <c r="A463" s="1" t="s">
        <v>76</v>
      </c>
      <c r="B463" s="1" t="s">
        <v>80</v>
      </c>
      <c r="C463" s="1" t="s">
        <v>164</v>
      </c>
      <c r="D463" s="1" t="s">
        <v>165</v>
      </c>
      <c r="E463" s="1" t="s">
        <v>783</v>
      </c>
      <c r="F463" s="1" t="s">
        <v>785</v>
      </c>
      <c r="I463" s="1"/>
      <c r="J463" s="1"/>
      <c r="K463" s="1"/>
      <c r="L463" s="1"/>
      <c r="O463" s="1"/>
      <c r="P463" s="1"/>
    </row>
    <row r="464" spans="1:16" x14ac:dyDescent="0.35">
      <c r="A464" s="1" t="s">
        <v>76</v>
      </c>
      <c r="B464" s="1" t="s">
        <v>80</v>
      </c>
      <c r="C464" s="1" t="s">
        <v>164</v>
      </c>
      <c r="D464" s="1" t="s">
        <v>165</v>
      </c>
      <c r="E464" s="1" t="s">
        <v>1028</v>
      </c>
      <c r="F464" s="1" t="s">
        <v>1029</v>
      </c>
      <c r="I464" s="1"/>
      <c r="J464" s="1"/>
      <c r="K464" s="1"/>
      <c r="L464" s="1"/>
      <c r="O464" s="1"/>
      <c r="P464" s="1"/>
    </row>
    <row r="465" spans="1:16" x14ac:dyDescent="0.35">
      <c r="A465" s="1" t="s">
        <v>76</v>
      </c>
      <c r="B465" s="1" t="s">
        <v>80</v>
      </c>
      <c r="C465" s="1" t="s">
        <v>164</v>
      </c>
      <c r="D465" s="1" t="s">
        <v>165</v>
      </c>
      <c r="E465" s="1" t="s">
        <v>1052</v>
      </c>
      <c r="F465" s="1" t="s">
        <v>1055</v>
      </c>
      <c r="I465" s="1"/>
      <c r="J465" s="1"/>
      <c r="K465" s="1"/>
      <c r="L465" s="1"/>
      <c r="O465" s="1"/>
      <c r="P465" s="1"/>
    </row>
    <row r="466" spans="1:16" x14ac:dyDescent="0.35">
      <c r="A466" s="1" t="s">
        <v>76</v>
      </c>
      <c r="B466" s="1" t="s">
        <v>80</v>
      </c>
      <c r="C466" s="1" t="s">
        <v>164</v>
      </c>
      <c r="D466" s="1" t="s">
        <v>165</v>
      </c>
      <c r="E466" s="1" t="s">
        <v>1084</v>
      </c>
      <c r="F466" s="1" t="s">
        <v>1085</v>
      </c>
      <c r="I466" s="1"/>
      <c r="J466" s="1"/>
      <c r="K466" s="1"/>
      <c r="L466" s="1"/>
      <c r="O466" s="1"/>
      <c r="P466" s="1"/>
    </row>
    <row r="467" spans="1:16" x14ac:dyDescent="0.35">
      <c r="A467" s="1" t="s">
        <v>76</v>
      </c>
      <c r="B467" s="1" t="s">
        <v>80</v>
      </c>
      <c r="C467" s="1" t="s">
        <v>164</v>
      </c>
      <c r="D467" s="1" t="s">
        <v>165</v>
      </c>
      <c r="E467" s="1" t="s">
        <v>1100</v>
      </c>
      <c r="F467" s="1" t="s">
        <v>1101</v>
      </c>
      <c r="I467" s="1"/>
      <c r="J467" s="1"/>
      <c r="K467" s="1"/>
      <c r="L467" s="1"/>
      <c r="O467" s="1"/>
      <c r="P467" s="1"/>
    </row>
    <row r="468" spans="1:16" x14ac:dyDescent="0.35">
      <c r="A468" s="1" t="s">
        <v>76</v>
      </c>
      <c r="B468" s="1" t="s">
        <v>80</v>
      </c>
      <c r="C468" s="1" t="s">
        <v>164</v>
      </c>
      <c r="D468" s="1" t="s">
        <v>165</v>
      </c>
      <c r="E468" s="1" t="s">
        <v>1362</v>
      </c>
      <c r="F468" s="1" t="s">
        <v>1363</v>
      </c>
      <c r="I468" s="1"/>
      <c r="J468" s="1"/>
      <c r="K468" s="1"/>
      <c r="L468" s="1"/>
      <c r="O468" s="1"/>
      <c r="P468" s="1"/>
    </row>
    <row r="469" spans="1:16" x14ac:dyDescent="0.35">
      <c r="A469" s="1" t="s">
        <v>76</v>
      </c>
      <c r="B469" s="1" t="s">
        <v>80</v>
      </c>
      <c r="C469" s="1" t="s">
        <v>164</v>
      </c>
      <c r="D469" s="1" t="s">
        <v>165</v>
      </c>
      <c r="E469" s="1" t="s">
        <v>1364</v>
      </c>
      <c r="F469" s="1" t="s">
        <v>1365</v>
      </c>
      <c r="I469" s="1"/>
      <c r="J469" s="1"/>
      <c r="K469" s="1"/>
      <c r="L469" s="1"/>
      <c r="O469" s="1"/>
      <c r="P469" s="1"/>
    </row>
    <row r="470" spans="1:16" x14ac:dyDescent="0.35">
      <c r="A470" s="1" t="s">
        <v>76</v>
      </c>
      <c r="B470" s="1" t="s">
        <v>80</v>
      </c>
      <c r="C470" s="1" t="s">
        <v>166</v>
      </c>
      <c r="D470" s="1" t="s">
        <v>167</v>
      </c>
      <c r="E470" s="1" t="s">
        <v>212</v>
      </c>
      <c r="F470" s="1" t="s">
        <v>213</v>
      </c>
      <c r="I470" s="1"/>
      <c r="J470" s="1"/>
      <c r="K470" s="1"/>
      <c r="L470" s="1"/>
      <c r="O470" s="1"/>
      <c r="P470" s="1"/>
    </row>
    <row r="471" spans="1:16" x14ac:dyDescent="0.35">
      <c r="A471" s="1" t="s">
        <v>76</v>
      </c>
      <c r="B471" s="1" t="s">
        <v>80</v>
      </c>
      <c r="C471" s="1" t="s">
        <v>166</v>
      </c>
      <c r="D471" s="1" t="s">
        <v>167</v>
      </c>
      <c r="E471" s="1" t="s">
        <v>233</v>
      </c>
      <c r="F471" s="1" t="s">
        <v>234</v>
      </c>
      <c r="I471" s="1"/>
      <c r="J471" s="1"/>
      <c r="K471" s="1"/>
      <c r="L471" s="1"/>
      <c r="O471" s="1"/>
      <c r="P471" s="1"/>
    </row>
    <row r="472" spans="1:16" x14ac:dyDescent="0.35">
      <c r="A472" s="1" t="s">
        <v>76</v>
      </c>
      <c r="B472" s="1" t="s">
        <v>80</v>
      </c>
      <c r="C472" s="1" t="s">
        <v>166</v>
      </c>
      <c r="D472" s="1" t="s">
        <v>167</v>
      </c>
      <c r="E472" s="1" t="s">
        <v>272</v>
      </c>
      <c r="F472" s="1" t="s">
        <v>273</v>
      </c>
      <c r="I472" s="1"/>
      <c r="J472" s="1"/>
      <c r="K472" s="1"/>
      <c r="L472" s="1"/>
      <c r="O472" s="1"/>
      <c r="P472" s="1"/>
    </row>
    <row r="473" spans="1:16" x14ac:dyDescent="0.35">
      <c r="A473" s="1" t="s">
        <v>76</v>
      </c>
      <c r="B473" s="1" t="s">
        <v>80</v>
      </c>
      <c r="C473" s="1" t="s">
        <v>166</v>
      </c>
      <c r="D473" s="1" t="s">
        <v>167</v>
      </c>
      <c r="E473" s="1" t="s">
        <v>375</v>
      </c>
      <c r="F473" s="1" t="s">
        <v>376</v>
      </c>
      <c r="I473" s="1"/>
      <c r="J473" s="1"/>
      <c r="K473" s="1"/>
      <c r="L473" s="1"/>
      <c r="O473" s="1"/>
      <c r="P473" s="1"/>
    </row>
    <row r="474" spans="1:16" x14ac:dyDescent="0.35">
      <c r="A474" s="1" t="s">
        <v>76</v>
      </c>
      <c r="B474" s="1" t="s">
        <v>80</v>
      </c>
      <c r="C474" s="1" t="s">
        <v>166</v>
      </c>
      <c r="D474" s="1" t="s">
        <v>167</v>
      </c>
      <c r="E474" s="1" t="s">
        <v>722</v>
      </c>
      <c r="F474" s="1" t="s">
        <v>723</v>
      </c>
      <c r="I474" s="1"/>
      <c r="J474" s="1"/>
      <c r="K474" s="1"/>
      <c r="L474" s="1"/>
      <c r="O474" s="1"/>
      <c r="P474" s="1"/>
    </row>
    <row r="475" spans="1:16" x14ac:dyDescent="0.35">
      <c r="A475" s="1" t="s">
        <v>76</v>
      </c>
      <c r="B475" s="1" t="s">
        <v>80</v>
      </c>
      <c r="C475" s="1" t="s">
        <v>166</v>
      </c>
      <c r="D475" s="1" t="s">
        <v>167</v>
      </c>
      <c r="E475" s="1" t="s">
        <v>868</v>
      </c>
      <c r="F475" s="1" t="s">
        <v>869</v>
      </c>
      <c r="I475" s="1"/>
      <c r="J475" s="1"/>
      <c r="K475" s="1"/>
      <c r="L475" s="1"/>
      <c r="O475" s="1"/>
      <c r="P475" s="1"/>
    </row>
    <row r="476" spans="1:16" x14ac:dyDescent="0.35">
      <c r="A476" s="1" t="s">
        <v>76</v>
      </c>
      <c r="B476" s="1" t="s">
        <v>80</v>
      </c>
      <c r="C476" s="1" t="s">
        <v>166</v>
      </c>
      <c r="D476" s="1" t="s">
        <v>167</v>
      </c>
      <c r="E476" s="1" t="s">
        <v>934</v>
      </c>
      <c r="F476" s="1" t="s">
        <v>935</v>
      </c>
      <c r="I476" s="1"/>
      <c r="J476" s="1"/>
      <c r="K476" s="1"/>
      <c r="L476" s="1"/>
      <c r="O476" s="1"/>
      <c r="P476" s="1"/>
    </row>
    <row r="477" spans="1:16" x14ac:dyDescent="0.35">
      <c r="A477" s="1" t="s">
        <v>76</v>
      </c>
      <c r="B477" s="1" t="s">
        <v>80</v>
      </c>
      <c r="C477" s="1" t="s">
        <v>166</v>
      </c>
      <c r="D477" s="1" t="s">
        <v>167</v>
      </c>
      <c r="E477" s="1" t="s">
        <v>990</v>
      </c>
      <c r="F477" s="1" t="s">
        <v>991</v>
      </c>
      <c r="I477" s="1"/>
      <c r="J477" s="1"/>
      <c r="K477" s="1"/>
      <c r="L477" s="1"/>
      <c r="O477" s="1"/>
      <c r="P477" s="1"/>
    </row>
    <row r="478" spans="1:16" x14ac:dyDescent="0.35">
      <c r="A478" s="1" t="s">
        <v>76</v>
      </c>
      <c r="B478" s="1" t="s">
        <v>80</v>
      </c>
      <c r="C478" s="1" t="s">
        <v>166</v>
      </c>
      <c r="D478" s="1" t="s">
        <v>167</v>
      </c>
      <c r="E478" s="1" t="s">
        <v>166</v>
      </c>
      <c r="F478" s="1" t="s">
        <v>1136</v>
      </c>
      <c r="I478" s="1"/>
      <c r="J478" s="1"/>
      <c r="K478" s="1"/>
      <c r="L478" s="1"/>
      <c r="O478" s="1"/>
      <c r="P478" s="1"/>
    </row>
    <row r="479" spans="1:16" x14ac:dyDescent="0.35">
      <c r="A479" s="1" t="s">
        <v>76</v>
      </c>
      <c r="B479" s="1" t="s">
        <v>80</v>
      </c>
      <c r="C479" s="1" t="s">
        <v>166</v>
      </c>
      <c r="D479" s="1" t="s">
        <v>167</v>
      </c>
      <c r="E479" s="1" t="s">
        <v>1222</v>
      </c>
      <c r="F479" s="1" t="s">
        <v>1223</v>
      </c>
      <c r="I479" s="1"/>
      <c r="J479" s="1"/>
      <c r="K479" s="1"/>
      <c r="L479" s="1"/>
      <c r="O479" s="1"/>
      <c r="P479" s="1"/>
    </row>
    <row r="480" spans="1:16" x14ac:dyDescent="0.35">
      <c r="A480" s="1" t="s">
        <v>76</v>
      </c>
      <c r="B480" s="1" t="s">
        <v>80</v>
      </c>
      <c r="C480" s="1" t="s">
        <v>166</v>
      </c>
      <c r="D480" s="1" t="s">
        <v>167</v>
      </c>
      <c r="E480" s="1" t="s">
        <v>1226</v>
      </c>
      <c r="F480" s="1" t="s">
        <v>1227</v>
      </c>
      <c r="I480" s="1"/>
      <c r="J480" s="1"/>
      <c r="K480" s="1"/>
      <c r="L480" s="1"/>
      <c r="O480" s="1"/>
      <c r="P480" s="1"/>
    </row>
    <row r="481" spans="1:16" x14ac:dyDescent="0.35">
      <c r="A481" s="1" t="s">
        <v>76</v>
      </c>
      <c r="B481" s="1" t="s">
        <v>80</v>
      </c>
      <c r="C481" s="1" t="s">
        <v>166</v>
      </c>
      <c r="D481" s="1" t="s">
        <v>167</v>
      </c>
      <c r="E481" s="1" t="s">
        <v>1289</v>
      </c>
      <c r="F481" s="1" t="s">
        <v>1290</v>
      </c>
      <c r="I481" s="1"/>
      <c r="J481" s="1"/>
      <c r="K481" s="1"/>
      <c r="L481" s="1"/>
      <c r="O481" s="1"/>
      <c r="P481" s="1"/>
    </row>
    <row r="482" spans="1:16" x14ac:dyDescent="0.35">
      <c r="A482" s="1" t="s">
        <v>76</v>
      </c>
      <c r="B482" s="1" t="s">
        <v>80</v>
      </c>
      <c r="C482" s="1" t="s">
        <v>166</v>
      </c>
      <c r="D482" s="1" t="s">
        <v>167</v>
      </c>
      <c r="E482" s="1" t="s">
        <v>1567</v>
      </c>
      <c r="F482" s="1" t="s">
        <v>1568</v>
      </c>
      <c r="I482" s="1"/>
      <c r="J482" s="1"/>
      <c r="K482" s="1"/>
      <c r="L482" s="1"/>
      <c r="O482" s="1"/>
      <c r="P482" s="1"/>
    </row>
    <row r="483" spans="1:16" x14ac:dyDescent="0.35">
      <c r="A483" s="1" t="s">
        <v>76</v>
      </c>
      <c r="B483" s="1" t="s">
        <v>80</v>
      </c>
      <c r="C483" s="1" t="s">
        <v>168</v>
      </c>
      <c r="D483" s="1" t="s">
        <v>169</v>
      </c>
      <c r="E483" s="1" t="s">
        <v>254</v>
      </c>
      <c r="F483" s="1" t="s">
        <v>255</v>
      </c>
      <c r="I483" s="1"/>
      <c r="J483" s="1"/>
      <c r="K483" s="1"/>
      <c r="L483" s="1"/>
      <c r="O483" s="1"/>
      <c r="P483" s="1"/>
    </row>
    <row r="484" spans="1:16" x14ac:dyDescent="0.35">
      <c r="A484" s="1" t="s">
        <v>76</v>
      </c>
      <c r="B484" s="1" t="s">
        <v>80</v>
      </c>
      <c r="C484" s="1" t="s">
        <v>168</v>
      </c>
      <c r="D484" s="1" t="s">
        <v>169</v>
      </c>
      <c r="E484" s="1" t="s">
        <v>353</v>
      </c>
      <c r="F484" s="1" t="s">
        <v>354</v>
      </c>
      <c r="I484" s="1"/>
      <c r="J484" s="1"/>
      <c r="K484" s="1"/>
      <c r="L484" s="1"/>
      <c r="O484" s="1"/>
      <c r="P484" s="1"/>
    </row>
    <row r="485" spans="1:16" x14ac:dyDescent="0.35">
      <c r="A485" s="1" t="s">
        <v>76</v>
      </c>
      <c r="B485" s="1" t="s">
        <v>80</v>
      </c>
      <c r="C485" s="1" t="s">
        <v>168</v>
      </c>
      <c r="D485" s="1" t="s">
        <v>169</v>
      </c>
      <c r="E485" s="1" t="s">
        <v>411</v>
      </c>
      <c r="F485" s="1" t="s">
        <v>412</v>
      </c>
      <c r="I485" s="1"/>
      <c r="J485" s="1"/>
      <c r="K485" s="1"/>
      <c r="L485" s="1"/>
      <c r="O485" s="1"/>
      <c r="P485" s="1"/>
    </row>
    <row r="486" spans="1:16" x14ac:dyDescent="0.35">
      <c r="A486" s="1" t="s">
        <v>76</v>
      </c>
      <c r="B486" s="1" t="s">
        <v>80</v>
      </c>
      <c r="C486" s="1" t="s">
        <v>168</v>
      </c>
      <c r="D486" s="1" t="s">
        <v>169</v>
      </c>
      <c r="E486" s="1" t="s">
        <v>455</v>
      </c>
      <c r="F486" s="1" t="s">
        <v>456</v>
      </c>
      <c r="I486" s="1"/>
      <c r="J486" s="1"/>
      <c r="K486" s="1"/>
      <c r="L486" s="1"/>
      <c r="O486" s="1"/>
      <c r="P486" s="1"/>
    </row>
    <row r="487" spans="1:16" x14ac:dyDescent="0.35">
      <c r="A487" s="1" t="s">
        <v>76</v>
      </c>
      <c r="B487" s="1" t="s">
        <v>80</v>
      </c>
      <c r="C487" s="1" t="s">
        <v>168</v>
      </c>
      <c r="D487" s="1" t="s">
        <v>169</v>
      </c>
      <c r="E487" s="1" t="s">
        <v>533</v>
      </c>
      <c r="F487" s="1" t="s">
        <v>534</v>
      </c>
      <c r="I487" s="1"/>
      <c r="J487" s="1"/>
      <c r="K487" s="1"/>
      <c r="L487" s="1"/>
      <c r="O487" s="1"/>
      <c r="P487" s="1"/>
    </row>
    <row r="488" spans="1:16" x14ac:dyDescent="0.35">
      <c r="A488" s="1" t="s">
        <v>76</v>
      </c>
      <c r="B488" s="1" t="s">
        <v>80</v>
      </c>
      <c r="C488" s="1" t="s">
        <v>168</v>
      </c>
      <c r="D488" s="1" t="s">
        <v>169</v>
      </c>
      <c r="E488" s="1" t="s">
        <v>645</v>
      </c>
      <c r="F488" s="1" t="s">
        <v>646</v>
      </c>
      <c r="I488" s="1"/>
      <c r="J488" s="1"/>
      <c r="K488" s="1"/>
      <c r="L488" s="1"/>
      <c r="O488" s="1"/>
      <c r="P488" s="1"/>
    </row>
    <row r="489" spans="1:16" x14ac:dyDescent="0.35">
      <c r="A489" s="1" t="s">
        <v>76</v>
      </c>
      <c r="B489" s="1" t="s">
        <v>80</v>
      </c>
      <c r="C489" s="1" t="s">
        <v>168</v>
      </c>
      <c r="D489" s="1" t="s">
        <v>169</v>
      </c>
      <c r="E489" s="1" t="s">
        <v>894</v>
      </c>
      <c r="F489" s="1" t="s">
        <v>895</v>
      </c>
      <c r="I489" s="1"/>
      <c r="J489" s="1"/>
      <c r="K489" s="1"/>
      <c r="L489" s="1"/>
      <c r="O489" s="1"/>
      <c r="P489" s="1"/>
    </row>
    <row r="490" spans="1:16" x14ac:dyDescent="0.35">
      <c r="A490" s="1" t="s">
        <v>76</v>
      </c>
      <c r="B490" s="1" t="s">
        <v>80</v>
      </c>
      <c r="C490" s="1" t="s">
        <v>168</v>
      </c>
      <c r="D490" s="1" t="s">
        <v>169</v>
      </c>
      <c r="E490" s="1" t="s">
        <v>1042</v>
      </c>
      <c r="F490" s="1" t="s">
        <v>1043</v>
      </c>
      <c r="I490" s="1"/>
      <c r="J490" s="1"/>
      <c r="K490" s="1"/>
      <c r="L490" s="1"/>
      <c r="O490" s="1"/>
      <c r="P490" s="1"/>
    </row>
    <row r="491" spans="1:16" x14ac:dyDescent="0.35">
      <c r="A491" s="1" t="s">
        <v>76</v>
      </c>
      <c r="B491" s="1" t="s">
        <v>80</v>
      </c>
      <c r="C491" s="1" t="s">
        <v>168</v>
      </c>
      <c r="D491" s="1" t="s">
        <v>169</v>
      </c>
      <c r="E491" s="1" t="s">
        <v>1583</v>
      </c>
      <c r="F491" s="1" t="s">
        <v>1584</v>
      </c>
      <c r="I491" s="1"/>
      <c r="J491" s="1"/>
      <c r="K491" s="1"/>
      <c r="L491" s="1"/>
      <c r="O491" s="1"/>
      <c r="P491" s="1"/>
    </row>
    <row r="492" spans="1:16" x14ac:dyDescent="0.35">
      <c r="A492" s="1" t="s">
        <v>76</v>
      </c>
      <c r="B492" s="1" t="s">
        <v>80</v>
      </c>
      <c r="C492" s="1" t="s">
        <v>168</v>
      </c>
      <c r="D492" s="1" t="s">
        <v>169</v>
      </c>
      <c r="E492" s="1" t="s">
        <v>1589</v>
      </c>
      <c r="F492" s="1" t="s">
        <v>1590</v>
      </c>
      <c r="I492" s="1"/>
      <c r="J492" s="1"/>
      <c r="K492" s="1"/>
      <c r="L492" s="1"/>
      <c r="O492" s="1"/>
      <c r="P492" s="1"/>
    </row>
    <row r="493" spans="1:16" x14ac:dyDescent="0.35">
      <c r="A493" s="1" t="s">
        <v>76</v>
      </c>
      <c r="B493" s="1" t="s">
        <v>80</v>
      </c>
      <c r="C493" s="1" t="s">
        <v>170</v>
      </c>
      <c r="D493" s="1" t="s">
        <v>171</v>
      </c>
      <c r="E493" s="1" t="s">
        <v>449</v>
      </c>
      <c r="F493" s="1" t="s">
        <v>450</v>
      </c>
      <c r="I493" s="1"/>
      <c r="J493" s="1"/>
      <c r="K493" s="1"/>
      <c r="L493" s="1"/>
      <c r="O493" s="1"/>
      <c r="P493" s="1"/>
    </row>
    <row r="494" spans="1:16" x14ac:dyDescent="0.35">
      <c r="A494" s="1" t="s">
        <v>76</v>
      </c>
      <c r="B494" s="1" t="s">
        <v>80</v>
      </c>
      <c r="C494" s="1" t="s">
        <v>170</v>
      </c>
      <c r="D494" s="1" t="s">
        <v>171</v>
      </c>
      <c r="E494" s="1" t="s">
        <v>874</v>
      </c>
      <c r="F494" s="1" t="s">
        <v>875</v>
      </c>
      <c r="I494" s="1"/>
      <c r="J494" s="1"/>
      <c r="K494" s="1"/>
      <c r="L494" s="1"/>
      <c r="O494" s="1"/>
      <c r="P494" s="1"/>
    </row>
    <row r="495" spans="1:16" x14ac:dyDescent="0.35">
      <c r="A495" s="1" t="s">
        <v>76</v>
      </c>
      <c r="B495" s="1" t="s">
        <v>80</v>
      </c>
      <c r="C495" s="1" t="s">
        <v>170</v>
      </c>
      <c r="D495" s="1" t="s">
        <v>171</v>
      </c>
      <c r="E495" s="1" t="s">
        <v>994</v>
      </c>
      <c r="F495" s="1" t="s">
        <v>995</v>
      </c>
      <c r="I495" s="1"/>
      <c r="J495" s="1"/>
      <c r="K495" s="1"/>
      <c r="L495" s="1"/>
      <c r="O495" s="1"/>
      <c r="P495" s="1"/>
    </row>
    <row r="496" spans="1:16" x14ac:dyDescent="0.35">
      <c r="A496" s="1" t="s">
        <v>76</v>
      </c>
      <c r="B496" s="1" t="s">
        <v>80</v>
      </c>
      <c r="C496" s="1" t="s">
        <v>170</v>
      </c>
      <c r="D496" s="1" t="s">
        <v>171</v>
      </c>
      <c r="E496" s="1" t="s">
        <v>1118</v>
      </c>
      <c r="F496" s="1" t="s">
        <v>1119</v>
      </c>
      <c r="I496" s="1"/>
      <c r="J496" s="1"/>
      <c r="K496" s="1"/>
      <c r="L496" s="1"/>
      <c r="O496" s="1"/>
      <c r="P496" s="1"/>
    </row>
    <row r="497" spans="1:16" x14ac:dyDescent="0.35">
      <c r="A497" s="1" t="s">
        <v>76</v>
      </c>
      <c r="B497" s="1" t="s">
        <v>80</v>
      </c>
      <c r="C497" s="1" t="s">
        <v>170</v>
      </c>
      <c r="D497" s="1" t="s">
        <v>171</v>
      </c>
      <c r="E497" s="1" t="s">
        <v>1181</v>
      </c>
      <c r="F497" s="1" t="s">
        <v>1182</v>
      </c>
      <c r="I497" s="1"/>
      <c r="J497" s="1"/>
      <c r="K497" s="1"/>
      <c r="L497" s="1"/>
      <c r="O497" s="1"/>
      <c r="P497" s="1"/>
    </row>
    <row r="498" spans="1:16" x14ac:dyDescent="0.35">
      <c r="A498" s="1" t="s">
        <v>76</v>
      </c>
      <c r="B498" s="1" t="s">
        <v>80</v>
      </c>
      <c r="C498" s="1" t="s">
        <v>170</v>
      </c>
      <c r="D498" s="1" t="s">
        <v>171</v>
      </c>
      <c r="E498" s="1" t="s">
        <v>1193</v>
      </c>
      <c r="F498" s="1" t="s">
        <v>1194</v>
      </c>
      <c r="I498" s="1"/>
      <c r="J498" s="1"/>
      <c r="K498" s="1"/>
      <c r="L498" s="1"/>
      <c r="O498" s="1"/>
      <c r="P498" s="1"/>
    </row>
    <row r="499" spans="1:16" x14ac:dyDescent="0.35">
      <c r="A499" s="1" t="s">
        <v>76</v>
      </c>
      <c r="B499" s="1" t="s">
        <v>80</v>
      </c>
      <c r="C499" s="1" t="s">
        <v>170</v>
      </c>
      <c r="D499" s="1" t="s">
        <v>171</v>
      </c>
      <c r="E499" s="1" t="s">
        <v>170</v>
      </c>
      <c r="F499" s="1" t="s">
        <v>1197</v>
      </c>
      <c r="I499" s="1"/>
      <c r="J499" s="1"/>
      <c r="K499" s="1"/>
      <c r="L499" s="1"/>
      <c r="O499" s="1"/>
      <c r="P499" s="1"/>
    </row>
    <row r="500" spans="1:16" x14ac:dyDescent="0.35">
      <c r="A500" s="1" t="s">
        <v>76</v>
      </c>
      <c r="B500" s="1" t="s">
        <v>80</v>
      </c>
      <c r="C500" s="1" t="s">
        <v>170</v>
      </c>
      <c r="D500" s="1" t="s">
        <v>171</v>
      </c>
      <c r="E500" s="1" t="s">
        <v>1279</v>
      </c>
      <c r="F500" s="1" t="s">
        <v>1280</v>
      </c>
      <c r="I500" s="1"/>
      <c r="J500" s="1"/>
      <c r="K500" s="1"/>
      <c r="L500" s="1"/>
      <c r="O500" s="1"/>
      <c r="P500" s="1"/>
    </row>
    <row r="501" spans="1:16" x14ac:dyDescent="0.35">
      <c r="A501" s="1" t="s">
        <v>76</v>
      </c>
      <c r="B501" s="1" t="s">
        <v>80</v>
      </c>
      <c r="C501" s="1" t="s">
        <v>170</v>
      </c>
      <c r="D501" s="1" t="s">
        <v>171</v>
      </c>
      <c r="E501" s="1" t="s">
        <v>1405</v>
      </c>
      <c r="F501" s="1" t="s">
        <v>1406</v>
      </c>
      <c r="I501" s="1"/>
      <c r="J501" s="1"/>
      <c r="K501" s="1"/>
      <c r="L501" s="1"/>
      <c r="O501" s="1"/>
      <c r="P501" s="1"/>
    </row>
    <row r="502" spans="1:16" x14ac:dyDescent="0.35">
      <c r="A502" s="1" t="s">
        <v>76</v>
      </c>
      <c r="B502" s="1" t="s">
        <v>80</v>
      </c>
      <c r="C502" s="1" t="s">
        <v>170</v>
      </c>
      <c r="D502" s="1" t="s">
        <v>171</v>
      </c>
      <c r="E502" s="1" t="s">
        <v>1515</v>
      </c>
      <c r="F502" s="1" t="s">
        <v>1516</v>
      </c>
      <c r="I502" s="1"/>
      <c r="J502" s="1"/>
      <c r="K502" s="1"/>
      <c r="L502" s="1"/>
      <c r="O502" s="1"/>
      <c r="P502" s="1"/>
    </row>
    <row r="503" spans="1:16" x14ac:dyDescent="0.35">
      <c r="A503" s="1" t="s">
        <v>76</v>
      </c>
      <c r="B503" s="1" t="s">
        <v>80</v>
      </c>
      <c r="C503" s="1" t="s">
        <v>170</v>
      </c>
      <c r="D503" s="1" t="s">
        <v>171</v>
      </c>
      <c r="E503" s="1" t="s">
        <v>1543</v>
      </c>
      <c r="F503" s="1" t="s">
        <v>1544</v>
      </c>
      <c r="I503" s="1"/>
      <c r="J503" s="1"/>
      <c r="K503" s="1"/>
      <c r="L503" s="1"/>
      <c r="O503" s="1"/>
      <c r="P503" s="1"/>
    </row>
    <row r="504" spans="1:16" x14ac:dyDescent="0.35">
      <c r="A504" s="1" t="s">
        <v>76</v>
      </c>
      <c r="B504" s="1" t="s">
        <v>80</v>
      </c>
      <c r="C504" s="1" t="s">
        <v>170</v>
      </c>
      <c r="D504" s="1" t="s">
        <v>171</v>
      </c>
      <c r="E504" s="1" t="s">
        <v>1587</v>
      </c>
      <c r="F504" s="1" t="s">
        <v>1588</v>
      </c>
      <c r="I504" s="1"/>
      <c r="J504" s="1"/>
      <c r="K504" s="1"/>
      <c r="L504" s="1"/>
      <c r="O504" s="1"/>
      <c r="P504" s="1"/>
    </row>
    <row r="505" spans="1:16" x14ac:dyDescent="0.35">
      <c r="A505" s="1" t="s">
        <v>76</v>
      </c>
      <c r="B505" s="1" t="s">
        <v>80</v>
      </c>
      <c r="C505" s="1" t="s">
        <v>172</v>
      </c>
      <c r="D505" s="1" t="s">
        <v>173</v>
      </c>
      <c r="E505" s="1" t="s">
        <v>580</v>
      </c>
      <c r="F505" s="1" t="s">
        <v>581</v>
      </c>
      <c r="I505" s="1"/>
      <c r="J505" s="1"/>
      <c r="K505" s="1"/>
      <c r="L505" s="1"/>
      <c r="O505" s="1"/>
      <c r="P505" s="1"/>
    </row>
    <row r="506" spans="1:16" x14ac:dyDescent="0.35">
      <c r="A506" s="1" t="s">
        <v>76</v>
      </c>
      <c r="B506" s="1" t="s">
        <v>80</v>
      </c>
      <c r="C506" s="1" t="s">
        <v>172</v>
      </c>
      <c r="D506" s="1" t="s">
        <v>173</v>
      </c>
      <c r="E506" s="1" t="s">
        <v>616</v>
      </c>
      <c r="F506" s="1" t="s">
        <v>617</v>
      </c>
      <c r="I506" s="1"/>
      <c r="J506" s="1"/>
      <c r="K506" s="1"/>
      <c r="L506" s="1"/>
      <c r="O506" s="1"/>
      <c r="P506" s="1"/>
    </row>
    <row r="507" spans="1:16" x14ac:dyDescent="0.35">
      <c r="A507" s="1" t="s">
        <v>76</v>
      </c>
      <c r="B507" s="1" t="s">
        <v>80</v>
      </c>
      <c r="C507" s="1" t="s">
        <v>172</v>
      </c>
      <c r="D507" s="1" t="s">
        <v>173</v>
      </c>
      <c r="E507" s="1" t="s">
        <v>618</v>
      </c>
      <c r="F507" s="1" t="s">
        <v>619</v>
      </c>
      <c r="I507" s="1"/>
      <c r="J507" s="1"/>
      <c r="K507" s="1"/>
      <c r="L507" s="1"/>
      <c r="O507" s="1"/>
      <c r="P507" s="1"/>
    </row>
    <row r="508" spans="1:16" x14ac:dyDescent="0.35">
      <c r="A508" s="1" t="s">
        <v>76</v>
      </c>
      <c r="B508" s="1" t="s">
        <v>80</v>
      </c>
      <c r="C508" s="1" t="s">
        <v>172</v>
      </c>
      <c r="D508" s="1" t="s">
        <v>173</v>
      </c>
      <c r="E508" s="1" t="s">
        <v>620</v>
      </c>
      <c r="F508" s="1" t="s">
        <v>621</v>
      </c>
      <c r="I508" s="1"/>
      <c r="J508" s="1"/>
      <c r="K508" s="1"/>
      <c r="L508" s="1"/>
      <c r="O508" s="1"/>
      <c r="P508" s="1"/>
    </row>
    <row r="509" spans="1:16" x14ac:dyDescent="0.35">
      <c r="A509" s="1" t="s">
        <v>76</v>
      </c>
      <c r="B509" s="1" t="s">
        <v>80</v>
      </c>
      <c r="C509" s="1" t="s">
        <v>172</v>
      </c>
      <c r="D509" s="1" t="s">
        <v>173</v>
      </c>
      <c r="E509" s="1" t="s">
        <v>1058</v>
      </c>
      <c r="F509" s="1" t="s">
        <v>1059</v>
      </c>
      <c r="I509" s="1"/>
      <c r="J509" s="1"/>
      <c r="K509" s="1"/>
      <c r="L509" s="1"/>
      <c r="O509" s="1"/>
      <c r="P509" s="1"/>
    </row>
    <row r="510" spans="1:16" x14ac:dyDescent="0.35">
      <c r="A510" s="1" t="s">
        <v>76</v>
      </c>
      <c r="B510" s="1" t="s">
        <v>80</v>
      </c>
      <c r="C510" s="1" t="s">
        <v>172</v>
      </c>
      <c r="D510" s="1" t="s">
        <v>173</v>
      </c>
      <c r="E510" s="1" t="s">
        <v>1240</v>
      </c>
      <c r="F510" s="1" t="s">
        <v>1241</v>
      </c>
      <c r="I510" s="1"/>
      <c r="J510" s="1"/>
      <c r="K510" s="1"/>
      <c r="L510" s="1"/>
      <c r="O510" s="1"/>
      <c r="P510" s="1"/>
    </row>
    <row r="511" spans="1:16" x14ac:dyDescent="0.35">
      <c r="A511" s="1" t="s">
        <v>76</v>
      </c>
      <c r="B511" s="1" t="s">
        <v>80</v>
      </c>
      <c r="C511" s="1" t="s">
        <v>172</v>
      </c>
      <c r="D511" s="1" t="s">
        <v>173</v>
      </c>
      <c r="E511" s="1" t="s">
        <v>172</v>
      </c>
      <c r="F511" s="1" t="s">
        <v>1244</v>
      </c>
      <c r="I511" s="1"/>
      <c r="J511" s="1"/>
      <c r="K511" s="1"/>
      <c r="L511" s="1"/>
      <c r="O511" s="1"/>
      <c r="P511" s="1"/>
    </row>
    <row r="512" spans="1:16" x14ac:dyDescent="0.35">
      <c r="A512" s="1" t="s">
        <v>76</v>
      </c>
      <c r="B512" s="1" t="s">
        <v>80</v>
      </c>
      <c r="C512" s="1" t="s">
        <v>172</v>
      </c>
      <c r="D512" s="1" t="s">
        <v>173</v>
      </c>
      <c r="E512" s="1" t="s">
        <v>1359</v>
      </c>
      <c r="F512" s="1" t="s">
        <v>1361</v>
      </c>
      <c r="I512" s="1"/>
      <c r="J512" s="1"/>
      <c r="K512" s="1"/>
      <c r="L512" s="1"/>
      <c r="O512" s="1"/>
      <c r="P512" s="1"/>
    </row>
    <row r="513" spans="1:16" x14ac:dyDescent="0.35">
      <c r="A513" s="1" t="s">
        <v>76</v>
      </c>
      <c r="B513" s="1" t="s">
        <v>80</v>
      </c>
      <c r="C513" s="1" t="s">
        <v>172</v>
      </c>
      <c r="D513" s="1" t="s">
        <v>173</v>
      </c>
      <c r="E513" s="1" t="s">
        <v>1499</v>
      </c>
      <c r="F513" s="1" t="s">
        <v>1500</v>
      </c>
      <c r="I513" s="1"/>
      <c r="J513" s="1"/>
      <c r="K513" s="1"/>
      <c r="L513" s="1"/>
      <c r="O513" s="1"/>
      <c r="P513" s="1"/>
    </row>
    <row r="514" spans="1:16" x14ac:dyDescent="0.35">
      <c r="A514" s="1" t="s">
        <v>76</v>
      </c>
      <c r="B514" s="1" t="s">
        <v>80</v>
      </c>
      <c r="C514" s="1" t="s">
        <v>172</v>
      </c>
      <c r="D514" s="1" t="s">
        <v>173</v>
      </c>
      <c r="E514" s="1" t="s">
        <v>1513</v>
      </c>
      <c r="F514" s="1" t="s">
        <v>1514</v>
      </c>
      <c r="I514" s="1"/>
      <c r="J514" s="1"/>
      <c r="K514" s="1"/>
      <c r="L514" s="1"/>
      <c r="O514" s="1"/>
      <c r="P514" s="1"/>
    </row>
    <row r="515" spans="1:16" x14ac:dyDescent="0.35">
      <c r="A515" s="1" t="s">
        <v>76</v>
      </c>
      <c r="B515" s="1" t="s">
        <v>80</v>
      </c>
      <c r="C515" s="1" t="s">
        <v>174</v>
      </c>
      <c r="D515" s="1" t="s">
        <v>175</v>
      </c>
      <c r="E515" s="1" t="s">
        <v>238</v>
      </c>
      <c r="F515" s="1" t="s">
        <v>239</v>
      </c>
      <c r="I515" s="1"/>
      <c r="J515" s="1"/>
      <c r="K515" s="1"/>
      <c r="L515" s="1"/>
      <c r="O515" s="1"/>
      <c r="P515" s="1"/>
    </row>
    <row r="516" spans="1:16" x14ac:dyDescent="0.35">
      <c r="A516" s="1" t="s">
        <v>76</v>
      </c>
      <c r="B516" s="1" t="s">
        <v>80</v>
      </c>
      <c r="C516" s="1" t="s">
        <v>174</v>
      </c>
      <c r="D516" s="1" t="s">
        <v>175</v>
      </c>
      <c r="E516" s="1" t="s">
        <v>274</v>
      </c>
      <c r="F516" s="1" t="s">
        <v>275</v>
      </c>
      <c r="I516" s="1"/>
      <c r="J516" s="1"/>
      <c r="K516" s="1"/>
      <c r="L516" s="1"/>
      <c r="O516" s="1"/>
      <c r="P516" s="1"/>
    </row>
    <row r="517" spans="1:16" x14ac:dyDescent="0.35">
      <c r="A517" s="1" t="s">
        <v>76</v>
      </c>
      <c r="B517" s="1" t="s">
        <v>80</v>
      </c>
      <c r="C517" s="1" t="s">
        <v>174</v>
      </c>
      <c r="D517" s="1" t="s">
        <v>175</v>
      </c>
      <c r="E517" s="1" t="s">
        <v>451</v>
      </c>
      <c r="F517" s="1" t="s">
        <v>452</v>
      </c>
      <c r="I517" s="1"/>
      <c r="J517" s="1"/>
      <c r="K517" s="1"/>
      <c r="L517" s="1"/>
      <c r="O517" s="1"/>
      <c r="P517" s="1"/>
    </row>
    <row r="518" spans="1:16" x14ac:dyDescent="0.35">
      <c r="A518" s="1" t="s">
        <v>76</v>
      </c>
      <c r="B518" s="1" t="s">
        <v>80</v>
      </c>
      <c r="C518" s="1" t="s">
        <v>174</v>
      </c>
      <c r="D518" s="1" t="s">
        <v>175</v>
      </c>
      <c r="E518" s="1" t="s">
        <v>588</v>
      </c>
      <c r="F518" s="1" t="s">
        <v>589</v>
      </c>
      <c r="I518" s="1"/>
      <c r="J518" s="1"/>
      <c r="K518" s="1"/>
      <c r="L518" s="1"/>
      <c r="O518" s="1"/>
      <c r="P518" s="1"/>
    </row>
    <row r="519" spans="1:16" x14ac:dyDescent="0.35">
      <c r="A519" s="1" t="s">
        <v>76</v>
      </c>
      <c r="B519" s="1" t="s">
        <v>80</v>
      </c>
      <c r="C519" s="1" t="s">
        <v>174</v>
      </c>
      <c r="D519" s="1" t="s">
        <v>175</v>
      </c>
      <c r="E519" s="1" t="s">
        <v>598</v>
      </c>
      <c r="F519" s="1" t="s">
        <v>599</v>
      </c>
      <c r="I519" s="1"/>
      <c r="J519" s="1"/>
      <c r="K519" s="1"/>
      <c r="L519" s="1"/>
      <c r="O519" s="1"/>
      <c r="P519" s="1"/>
    </row>
    <row r="520" spans="1:16" x14ac:dyDescent="0.35">
      <c r="A520" s="1" t="s">
        <v>76</v>
      </c>
      <c r="B520" s="1" t="s">
        <v>80</v>
      </c>
      <c r="C520" s="1" t="s">
        <v>174</v>
      </c>
      <c r="D520" s="1" t="s">
        <v>175</v>
      </c>
      <c r="E520" s="1" t="s">
        <v>852</v>
      </c>
      <c r="F520" s="1" t="s">
        <v>853</v>
      </c>
      <c r="I520" s="1"/>
      <c r="J520" s="1"/>
      <c r="K520" s="1"/>
      <c r="L520" s="1"/>
      <c r="O520" s="1"/>
      <c r="P520" s="1"/>
    </row>
    <row r="521" spans="1:16" x14ac:dyDescent="0.35">
      <c r="A521" s="1" t="s">
        <v>76</v>
      </c>
      <c r="B521" s="1" t="s">
        <v>80</v>
      </c>
      <c r="C521" s="1" t="s">
        <v>174</v>
      </c>
      <c r="D521" s="1" t="s">
        <v>175</v>
      </c>
      <c r="E521" s="1" t="s">
        <v>979</v>
      </c>
      <c r="F521" s="1" t="s">
        <v>980</v>
      </c>
      <c r="I521" s="1"/>
      <c r="J521" s="1"/>
      <c r="K521" s="1"/>
      <c r="L521" s="1"/>
      <c r="O521" s="1"/>
      <c r="P521" s="1"/>
    </row>
    <row r="522" spans="1:16" x14ac:dyDescent="0.35">
      <c r="A522" s="1" t="s">
        <v>76</v>
      </c>
      <c r="B522" s="1" t="s">
        <v>80</v>
      </c>
      <c r="C522" s="1" t="s">
        <v>174</v>
      </c>
      <c r="D522" s="1" t="s">
        <v>175</v>
      </c>
      <c r="E522" s="1" t="s">
        <v>1004</v>
      </c>
      <c r="F522" s="1" t="s">
        <v>1005</v>
      </c>
      <c r="I522" s="1"/>
      <c r="J522" s="1"/>
      <c r="K522" s="1"/>
      <c r="L522" s="1"/>
      <c r="O522" s="1"/>
      <c r="P522" s="1"/>
    </row>
    <row r="523" spans="1:16" x14ac:dyDescent="0.35">
      <c r="A523" s="1" t="s">
        <v>76</v>
      </c>
      <c r="B523" s="1" t="s">
        <v>80</v>
      </c>
      <c r="C523" s="1" t="s">
        <v>174</v>
      </c>
      <c r="D523" s="1" t="s">
        <v>175</v>
      </c>
      <c r="E523" s="1" t="s">
        <v>1104</v>
      </c>
      <c r="F523" s="1" t="s">
        <v>1105</v>
      </c>
      <c r="I523" s="1"/>
      <c r="J523" s="1"/>
      <c r="K523" s="1"/>
      <c r="L523" s="1"/>
      <c r="O523" s="1"/>
      <c r="P523" s="1"/>
    </row>
    <row r="524" spans="1:16" x14ac:dyDescent="0.35">
      <c r="A524" s="1" t="s">
        <v>76</v>
      </c>
      <c r="B524" s="1" t="s">
        <v>80</v>
      </c>
      <c r="C524" s="1" t="s">
        <v>174</v>
      </c>
      <c r="D524" s="1" t="s">
        <v>175</v>
      </c>
      <c r="E524" s="1" t="s">
        <v>1185</v>
      </c>
      <c r="F524" s="1" t="s">
        <v>1186</v>
      </c>
      <c r="I524" s="1"/>
      <c r="J524" s="1"/>
      <c r="K524" s="1"/>
      <c r="L524" s="1"/>
      <c r="O524" s="1"/>
      <c r="P524" s="1"/>
    </row>
    <row r="525" spans="1:16" x14ac:dyDescent="0.35">
      <c r="A525" s="1" t="s">
        <v>76</v>
      </c>
      <c r="B525" s="1" t="s">
        <v>80</v>
      </c>
      <c r="C525" s="1" t="s">
        <v>174</v>
      </c>
      <c r="D525" s="1" t="s">
        <v>175</v>
      </c>
      <c r="E525" s="1" t="s">
        <v>1344</v>
      </c>
      <c r="F525" s="1" t="s">
        <v>1345</v>
      </c>
      <c r="I525" s="1"/>
      <c r="J525" s="1"/>
      <c r="K525" s="1"/>
      <c r="L525" s="1"/>
      <c r="O525" s="1"/>
      <c r="P525" s="1"/>
    </row>
    <row r="526" spans="1:16" x14ac:dyDescent="0.35">
      <c r="A526" s="1" t="s">
        <v>76</v>
      </c>
      <c r="B526" s="1" t="s">
        <v>80</v>
      </c>
      <c r="C526" s="1" t="s">
        <v>174</v>
      </c>
      <c r="D526" s="1" t="s">
        <v>175</v>
      </c>
      <c r="E526" s="1" t="s">
        <v>1393</v>
      </c>
      <c r="F526" s="1" t="s">
        <v>1394</v>
      </c>
      <c r="I526" s="1"/>
      <c r="J526" s="1"/>
      <c r="K526" s="1"/>
      <c r="L526" s="1"/>
      <c r="O526" s="1"/>
      <c r="P526" s="1"/>
    </row>
    <row r="527" spans="1:16" x14ac:dyDescent="0.35">
      <c r="A527" s="1" t="s">
        <v>76</v>
      </c>
      <c r="B527" s="1" t="s">
        <v>80</v>
      </c>
      <c r="C527" s="1" t="s">
        <v>176</v>
      </c>
      <c r="D527" s="1" t="s">
        <v>177</v>
      </c>
      <c r="E527" s="1" t="s">
        <v>306</v>
      </c>
      <c r="F527" s="1" t="s">
        <v>307</v>
      </c>
      <c r="I527" s="1"/>
      <c r="J527" s="1"/>
      <c r="K527" s="1"/>
      <c r="L527" s="1"/>
      <c r="O527" s="1"/>
      <c r="P527" s="1"/>
    </row>
    <row r="528" spans="1:16" x14ac:dyDescent="0.35">
      <c r="A528" s="1" t="s">
        <v>76</v>
      </c>
      <c r="B528" s="1" t="s">
        <v>80</v>
      </c>
      <c r="C528" s="1" t="s">
        <v>176</v>
      </c>
      <c r="D528" s="1" t="s">
        <v>177</v>
      </c>
      <c r="E528" s="1" t="s">
        <v>395</v>
      </c>
      <c r="F528" s="1" t="s">
        <v>396</v>
      </c>
      <c r="I528" s="1"/>
      <c r="J528" s="1"/>
      <c r="K528" s="1"/>
      <c r="L528" s="1"/>
      <c r="O528" s="1"/>
      <c r="P528" s="1"/>
    </row>
    <row r="529" spans="1:16" x14ac:dyDescent="0.35">
      <c r="A529" s="1" t="s">
        <v>76</v>
      </c>
      <c r="B529" s="1" t="s">
        <v>80</v>
      </c>
      <c r="C529" s="1" t="s">
        <v>176</v>
      </c>
      <c r="D529" s="1" t="s">
        <v>177</v>
      </c>
      <c r="E529" s="1" t="s">
        <v>647</v>
      </c>
      <c r="F529" s="1" t="s">
        <v>648</v>
      </c>
      <c r="I529" s="1"/>
      <c r="J529" s="1"/>
      <c r="K529" s="1"/>
      <c r="L529" s="1"/>
      <c r="O529" s="1"/>
      <c r="P529" s="1"/>
    </row>
    <row r="530" spans="1:16" x14ac:dyDescent="0.35">
      <c r="A530" s="1" t="s">
        <v>76</v>
      </c>
      <c r="B530" s="1" t="s">
        <v>80</v>
      </c>
      <c r="C530" s="1" t="s">
        <v>176</v>
      </c>
      <c r="D530" s="1" t="s">
        <v>177</v>
      </c>
      <c r="E530" s="1" t="s">
        <v>686</v>
      </c>
      <c r="F530" s="1" t="s">
        <v>687</v>
      </c>
      <c r="I530" s="1"/>
      <c r="J530" s="1"/>
      <c r="K530" s="1"/>
      <c r="L530" s="1"/>
      <c r="O530" s="1"/>
      <c r="P530" s="1"/>
    </row>
    <row r="531" spans="1:16" x14ac:dyDescent="0.35">
      <c r="A531" s="1" t="s">
        <v>76</v>
      </c>
      <c r="B531" s="1" t="s">
        <v>80</v>
      </c>
      <c r="C531" s="1" t="s">
        <v>176</v>
      </c>
      <c r="D531" s="1" t="s">
        <v>177</v>
      </c>
      <c r="E531" s="1" t="s">
        <v>759</v>
      </c>
      <c r="F531" s="1" t="s">
        <v>760</v>
      </c>
      <c r="I531" s="1"/>
      <c r="J531" s="1"/>
      <c r="K531" s="1"/>
      <c r="L531" s="1"/>
      <c r="O531" s="1"/>
      <c r="P531" s="1"/>
    </row>
    <row r="532" spans="1:16" x14ac:dyDescent="0.35">
      <c r="A532" s="1" t="s">
        <v>76</v>
      </c>
      <c r="B532" s="1" t="s">
        <v>80</v>
      </c>
      <c r="C532" s="1" t="s">
        <v>176</v>
      </c>
      <c r="D532" s="1" t="s">
        <v>177</v>
      </c>
      <c r="E532" s="1" t="s">
        <v>775</v>
      </c>
      <c r="F532" s="1" t="s">
        <v>776</v>
      </c>
      <c r="I532" s="1"/>
      <c r="J532" s="1"/>
      <c r="K532" s="1"/>
      <c r="L532" s="1"/>
      <c r="O532" s="1"/>
      <c r="P532" s="1"/>
    </row>
    <row r="533" spans="1:16" x14ac:dyDescent="0.35">
      <c r="A533" s="1" t="s">
        <v>76</v>
      </c>
      <c r="B533" s="1" t="s">
        <v>80</v>
      </c>
      <c r="C533" s="1" t="s">
        <v>176</v>
      </c>
      <c r="D533" s="1" t="s">
        <v>177</v>
      </c>
      <c r="E533" s="1" t="s">
        <v>958</v>
      </c>
      <c r="F533" s="1" t="s">
        <v>959</v>
      </c>
      <c r="I533" s="1"/>
      <c r="J533" s="1"/>
      <c r="K533" s="1"/>
      <c r="L533" s="1"/>
      <c r="O533" s="1"/>
      <c r="P533" s="1"/>
    </row>
    <row r="534" spans="1:16" x14ac:dyDescent="0.35">
      <c r="A534" s="1" t="s">
        <v>76</v>
      </c>
      <c r="B534" s="1" t="s">
        <v>80</v>
      </c>
      <c r="C534" s="1" t="s">
        <v>176</v>
      </c>
      <c r="D534" s="1" t="s">
        <v>177</v>
      </c>
      <c r="E534" s="1" t="s">
        <v>973</v>
      </c>
      <c r="F534" s="1" t="s">
        <v>974</v>
      </c>
      <c r="I534" s="1"/>
      <c r="J534" s="1"/>
      <c r="K534" s="1"/>
      <c r="L534" s="1"/>
      <c r="O534" s="1"/>
      <c r="P534" s="1"/>
    </row>
    <row r="535" spans="1:16" x14ac:dyDescent="0.35">
      <c r="A535" s="1" t="s">
        <v>76</v>
      </c>
      <c r="B535" s="1" t="s">
        <v>80</v>
      </c>
      <c r="C535" s="1" t="s">
        <v>176</v>
      </c>
      <c r="D535" s="1" t="s">
        <v>177</v>
      </c>
      <c r="E535" s="1" t="s">
        <v>1024</v>
      </c>
      <c r="F535" s="1" t="s">
        <v>1025</v>
      </c>
      <c r="I535" s="1"/>
      <c r="J535" s="1"/>
      <c r="K535" s="1"/>
      <c r="L535" s="1"/>
      <c r="O535" s="1"/>
      <c r="P535" s="1"/>
    </row>
    <row r="536" spans="1:16" x14ac:dyDescent="0.35">
      <c r="A536" s="1" t="s">
        <v>76</v>
      </c>
      <c r="B536" s="1" t="s">
        <v>80</v>
      </c>
      <c r="C536" s="1" t="s">
        <v>176</v>
      </c>
      <c r="D536" s="1" t="s">
        <v>177</v>
      </c>
      <c r="E536" s="1" t="s">
        <v>176</v>
      </c>
      <c r="F536" s="1" t="s">
        <v>1358</v>
      </c>
      <c r="I536" s="1"/>
      <c r="J536" s="1"/>
      <c r="K536" s="1"/>
      <c r="L536" s="1"/>
      <c r="O536" s="1"/>
      <c r="P536" s="1"/>
    </row>
    <row r="537" spans="1:16" x14ac:dyDescent="0.35">
      <c r="A537" s="1" t="s">
        <v>76</v>
      </c>
      <c r="B537" s="1" t="s">
        <v>80</v>
      </c>
      <c r="C537" s="1" t="s">
        <v>176</v>
      </c>
      <c r="D537" s="1" t="s">
        <v>177</v>
      </c>
      <c r="E537" s="1" t="s">
        <v>1487</v>
      </c>
      <c r="F537" s="1" t="s">
        <v>1488</v>
      </c>
      <c r="I537" s="1"/>
      <c r="J537" s="1"/>
      <c r="K537" s="1"/>
      <c r="L537" s="1"/>
      <c r="O537" s="1"/>
      <c r="P537" s="1"/>
    </row>
    <row r="538" spans="1:16" x14ac:dyDescent="0.35">
      <c r="A538" s="1" t="s">
        <v>78</v>
      </c>
      <c r="B538" s="1" t="s">
        <v>81</v>
      </c>
      <c r="C538" s="1" t="s">
        <v>178</v>
      </c>
      <c r="D538" s="1" t="s">
        <v>179</v>
      </c>
      <c r="E538" s="1" t="s">
        <v>427</v>
      </c>
      <c r="F538" s="1" t="s">
        <v>428</v>
      </c>
      <c r="I538" s="1"/>
      <c r="J538" s="1"/>
      <c r="K538" s="1"/>
      <c r="L538" s="1"/>
      <c r="O538" s="1"/>
      <c r="P538" s="1"/>
    </row>
    <row r="539" spans="1:16" x14ac:dyDescent="0.35">
      <c r="A539" s="1" t="s">
        <v>78</v>
      </c>
      <c r="B539" s="1" t="s">
        <v>81</v>
      </c>
      <c r="C539" s="1" t="s">
        <v>178</v>
      </c>
      <c r="D539" s="1" t="s">
        <v>179</v>
      </c>
      <c r="E539" s="1" t="s">
        <v>477</v>
      </c>
      <c r="F539" s="1" t="s">
        <v>478</v>
      </c>
      <c r="I539" s="1"/>
      <c r="J539" s="1"/>
      <c r="K539" s="1"/>
      <c r="L539" s="1"/>
      <c r="O539" s="1"/>
      <c r="P539" s="1"/>
    </row>
    <row r="540" spans="1:16" x14ac:dyDescent="0.35">
      <c r="A540" s="1" t="s">
        <v>78</v>
      </c>
      <c r="B540" s="1" t="s">
        <v>81</v>
      </c>
      <c r="C540" s="1" t="s">
        <v>178</v>
      </c>
      <c r="D540" s="1" t="s">
        <v>179</v>
      </c>
      <c r="E540" s="1" t="s">
        <v>777</v>
      </c>
      <c r="F540" s="1" t="s">
        <v>778</v>
      </c>
      <c r="I540" s="1"/>
      <c r="J540" s="1"/>
      <c r="K540" s="1"/>
      <c r="L540" s="1"/>
      <c r="O540" s="1"/>
      <c r="P540" s="1"/>
    </row>
    <row r="541" spans="1:16" x14ac:dyDescent="0.35">
      <c r="A541" s="1" t="s">
        <v>78</v>
      </c>
      <c r="B541" s="1" t="s">
        <v>81</v>
      </c>
      <c r="C541" s="1" t="s">
        <v>178</v>
      </c>
      <c r="D541" s="1" t="s">
        <v>179</v>
      </c>
      <c r="E541" s="1" t="s">
        <v>902</v>
      </c>
      <c r="F541" s="1" t="s">
        <v>903</v>
      </c>
      <c r="I541" s="1"/>
      <c r="J541" s="1"/>
      <c r="K541" s="1"/>
      <c r="L541" s="1"/>
      <c r="O541" s="1"/>
      <c r="P541" s="1"/>
    </row>
    <row r="542" spans="1:16" x14ac:dyDescent="0.35">
      <c r="A542" s="1" t="s">
        <v>78</v>
      </c>
      <c r="B542" s="1" t="s">
        <v>81</v>
      </c>
      <c r="C542" s="1" t="s">
        <v>178</v>
      </c>
      <c r="D542" s="1" t="s">
        <v>179</v>
      </c>
      <c r="E542" s="1" t="s">
        <v>1038</v>
      </c>
      <c r="F542" s="1" t="s">
        <v>1039</v>
      </c>
      <c r="I542" s="1"/>
      <c r="J542" s="1"/>
      <c r="K542" s="1"/>
      <c r="L542" s="1"/>
      <c r="O542" s="1"/>
      <c r="P542" s="1"/>
    </row>
    <row r="543" spans="1:16" x14ac:dyDescent="0.35">
      <c r="A543" s="1" t="s">
        <v>78</v>
      </c>
      <c r="B543" s="1" t="s">
        <v>81</v>
      </c>
      <c r="C543" s="1" t="s">
        <v>178</v>
      </c>
      <c r="D543" s="1" t="s">
        <v>179</v>
      </c>
      <c r="E543" s="1" t="s">
        <v>1040</v>
      </c>
      <c r="F543" s="1" t="s">
        <v>1041</v>
      </c>
      <c r="I543" s="1"/>
      <c r="J543" s="1"/>
      <c r="K543" s="1"/>
      <c r="L543" s="1"/>
      <c r="O543" s="1"/>
      <c r="P543" s="1"/>
    </row>
    <row r="544" spans="1:16" x14ac:dyDescent="0.35">
      <c r="A544" s="1" t="s">
        <v>78</v>
      </c>
      <c r="B544" s="1" t="s">
        <v>81</v>
      </c>
      <c r="C544" s="1" t="s">
        <v>178</v>
      </c>
      <c r="D544" s="1" t="s">
        <v>179</v>
      </c>
      <c r="E544" s="1" t="s">
        <v>1338</v>
      </c>
      <c r="F544" s="1" t="s">
        <v>1339</v>
      </c>
      <c r="I544" s="1"/>
      <c r="J544" s="1"/>
      <c r="K544" s="1"/>
      <c r="L544" s="1"/>
      <c r="O544" s="1"/>
      <c r="P544" s="1"/>
    </row>
    <row r="545" spans="1:16" x14ac:dyDescent="0.35">
      <c r="A545" s="1" t="s">
        <v>78</v>
      </c>
      <c r="B545" s="1" t="s">
        <v>81</v>
      </c>
      <c r="C545" s="1" t="s">
        <v>178</v>
      </c>
      <c r="D545" s="1" t="s">
        <v>179</v>
      </c>
      <c r="E545" s="1" t="s">
        <v>1350</v>
      </c>
      <c r="F545" s="1" t="s">
        <v>1351</v>
      </c>
      <c r="I545" s="1"/>
      <c r="J545" s="1"/>
      <c r="K545" s="1"/>
      <c r="L545" s="1"/>
      <c r="O545" s="1"/>
      <c r="P545" s="1"/>
    </row>
    <row r="546" spans="1:16" x14ac:dyDescent="0.35">
      <c r="A546" s="1" t="s">
        <v>78</v>
      </c>
      <c r="B546" s="1" t="s">
        <v>81</v>
      </c>
      <c r="C546" s="1" t="s">
        <v>178</v>
      </c>
      <c r="D546" s="1" t="s">
        <v>179</v>
      </c>
      <c r="E546" s="1" t="s">
        <v>1446</v>
      </c>
      <c r="F546" s="1" t="s">
        <v>1447</v>
      </c>
      <c r="I546" s="1"/>
      <c r="J546" s="1"/>
      <c r="K546" s="1"/>
      <c r="L546" s="1"/>
      <c r="O546" s="1"/>
      <c r="P546" s="1"/>
    </row>
    <row r="547" spans="1:16" x14ac:dyDescent="0.35">
      <c r="A547" s="1" t="s">
        <v>78</v>
      </c>
      <c r="B547" s="1" t="s">
        <v>81</v>
      </c>
      <c r="C547" s="1" t="s">
        <v>178</v>
      </c>
      <c r="D547" s="1" t="s">
        <v>179</v>
      </c>
      <c r="E547" s="1" t="s">
        <v>1577</v>
      </c>
      <c r="F547" s="1" t="s">
        <v>1578</v>
      </c>
      <c r="I547" s="1"/>
      <c r="J547" s="1"/>
      <c r="K547" s="1"/>
      <c r="L547" s="1"/>
      <c r="O547" s="1"/>
      <c r="P547" s="1"/>
    </row>
    <row r="548" spans="1:16" x14ac:dyDescent="0.35">
      <c r="A548" s="1" t="s">
        <v>78</v>
      </c>
      <c r="B548" s="1" t="s">
        <v>81</v>
      </c>
      <c r="C548" s="1" t="s">
        <v>180</v>
      </c>
      <c r="D548" s="1" t="s">
        <v>181</v>
      </c>
      <c r="E548" s="1" t="s">
        <v>310</v>
      </c>
      <c r="F548" s="1" t="s">
        <v>311</v>
      </c>
      <c r="I548" s="1"/>
      <c r="J548" s="1"/>
      <c r="K548" s="1"/>
      <c r="L548" s="1"/>
      <c r="O548" s="1"/>
      <c r="P548" s="1"/>
    </row>
    <row r="549" spans="1:16" x14ac:dyDescent="0.35">
      <c r="A549" s="1" t="s">
        <v>78</v>
      </c>
      <c r="B549" s="1" t="s">
        <v>81</v>
      </c>
      <c r="C549" s="1" t="s">
        <v>180</v>
      </c>
      <c r="D549" s="1" t="s">
        <v>181</v>
      </c>
      <c r="E549" s="1" t="s">
        <v>463</v>
      </c>
      <c r="F549" s="1" t="s">
        <v>464</v>
      </c>
      <c r="I549" s="1"/>
      <c r="J549" s="1"/>
      <c r="K549" s="1"/>
      <c r="L549" s="1"/>
      <c r="O549" s="1"/>
      <c r="P549" s="1"/>
    </row>
    <row r="550" spans="1:16" x14ac:dyDescent="0.35">
      <c r="A550" s="1" t="s">
        <v>78</v>
      </c>
      <c r="B550" s="1" t="s">
        <v>81</v>
      </c>
      <c r="C550" s="1" t="s">
        <v>180</v>
      </c>
      <c r="D550" s="1" t="s">
        <v>181</v>
      </c>
      <c r="E550" s="1" t="s">
        <v>467</v>
      </c>
      <c r="F550" s="1" t="s">
        <v>468</v>
      </c>
      <c r="I550" s="1"/>
      <c r="J550" s="1"/>
      <c r="K550" s="1"/>
      <c r="L550" s="1"/>
      <c r="O550" s="1"/>
      <c r="P550" s="1"/>
    </row>
    <row r="551" spans="1:16" x14ac:dyDescent="0.35">
      <c r="A551" s="1" t="s">
        <v>78</v>
      </c>
      <c r="B551" s="1" t="s">
        <v>81</v>
      </c>
      <c r="C551" s="1" t="s">
        <v>180</v>
      </c>
      <c r="D551" s="1" t="s">
        <v>181</v>
      </c>
      <c r="E551" s="1" t="s">
        <v>696</v>
      </c>
      <c r="F551" s="1" t="s">
        <v>697</v>
      </c>
      <c r="I551" s="1"/>
      <c r="J551" s="1"/>
      <c r="K551" s="1"/>
      <c r="L551" s="1"/>
      <c r="O551" s="1"/>
      <c r="P551" s="1"/>
    </row>
    <row r="552" spans="1:16" x14ac:dyDescent="0.35">
      <c r="A552" s="1" t="s">
        <v>78</v>
      </c>
      <c r="B552" s="1" t="s">
        <v>81</v>
      </c>
      <c r="C552" s="1" t="s">
        <v>180</v>
      </c>
      <c r="D552" s="1" t="s">
        <v>181</v>
      </c>
      <c r="E552" s="1" t="s">
        <v>715</v>
      </c>
      <c r="F552" s="1" t="s">
        <v>716</v>
      </c>
      <c r="I552" s="1"/>
      <c r="J552" s="1"/>
      <c r="K552" s="1"/>
      <c r="L552" s="1"/>
      <c r="O552" s="1"/>
      <c r="P552" s="1"/>
    </row>
    <row r="553" spans="1:16" x14ac:dyDescent="0.35">
      <c r="A553" s="1" t="s">
        <v>78</v>
      </c>
      <c r="B553" s="1" t="s">
        <v>81</v>
      </c>
      <c r="C553" s="1" t="s">
        <v>180</v>
      </c>
      <c r="D553" s="1" t="s">
        <v>181</v>
      </c>
      <c r="E553" s="1" t="s">
        <v>838</v>
      </c>
      <c r="F553" s="1" t="s">
        <v>839</v>
      </c>
      <c r="I553" s="1"/>
      <c r="J553" s="1"/>
      <c r="K553" s="1"/>
      <c r="L553" s="1"/>
      <c r="O553" s="1"/>
      <c r="P553" s="1"/>
    </row>
    <row r="554" spans="1:16" x14ac:dyDescent="0.35">
      <c r="A554" s="1" t="s">
        <v>78</v>
      </c>
      <c r="B554" s="1" t="s">
        <v>81</v>
      </c>
      <c r="C554" s="1" t="s">
        <v>180</v>
      </c>
      <c r="D554" s="1" t="s">
        <v>181</v>
      </c>
      <c r="E554" s="1" t="s">
        <v>858</v>
      </c>
      <c r="F554" s="1" t="s">
        <v>859</v>
      </c>
      <c r="I554" s="1"/>
      <c r="J554" s="1"/>
      <c r="K554" s="1"/>
      <c r="L554" s="1"/>
      <c r="O554" s="1"/>
      <c r="P554" s="1"/>
    </row>
    <row r="555" spans="1:16" x14ac:dyDescent="0.35">
      <c r="A555" s="1" t="s">
        <v>78</v>
      </c>
      <c r="B555" s="1" t="s">
        <v>81</v>
      </c>
      <c r="C555" s="1" t="s">
        <v>180</v>
      </c>
      <c r="D555" s="1" t="s">
        <v>181</v>
      </c>
      <c r="E555" s="1" t="s">
        <v>880</v>
      </c>
      <c r="F555" s="1" t="s">
        <v>881</v>
      </c>
      <c r="I555" s="1"/>
      <c r="J555" s="1"/>
      <c r="K555" s="1"/>
      <c r="L555" s="1"/>
      <c r="O555" s="1"/>
      <c r="P555" s="1"/>
    </row>
    <row r="556" spans="1:16" x14ac:dyDescent="0.35">
      <c r="A556" s="1" t="s">
        <v>78</v>
      </c>
      <c r="B556" s="1" t="s">
        <v>81</v>
      </c>
      <c r="C556" s="1" t="s">
        <v>180</v>
      </c>
      <c r="D556" s="1" t="s">
        <v>181</v>
      </c>
      <c r="E556" s="1" t="s">
        <v>1004</v>
      </c>
      <c r="F556" s="1" t="s">
        <v>1006</v>
      </c>
      <c r="I556" s="1"/>
      <c r="J556" s="1"/>
      <c r="K556" s="1"/>
      <c r="L556" s="1"/>
      <c r="O556" s="1"/>
      <c r="P556" s="1"/>
    </row>
    <row r="557" spans="1:16" x14ac:dyDescent="0.35">
      <c r="A557" s="1" t="s">
        <v>78</v>
      </c>
      <c r="B557" s="1" t="s">
        <v>81</v>
      </c>
      <c r="C557" s="1" t="s">
        <v>180</v>
      </c>
      <c r="D557" s="1" t="s">
        <v>181</v>
      </c>
      <c r="E557" s="1" t="s">
        <v>1137</v>
      </c>
      <c r="F557" s="1" t="s">
        <v>1138</v>
      </c>
      <c r="I557" s="1"/>
      <c r="J557" s="1"/>
      <c r="K557" s="1"/>
      <c r="L557" s="1"/>
      <c r="O557" s="1"/>
      <c r="P557" s="1"/>
    </row>
    <row r="558" spans="1:16" x14ac:dyDescent="0.35">
      <c r="A558" s="1" t="s">
        <v>78</v>
      </c>
      <c r="B558" s="1" t="s">
        <v>81</v>
      </c>
      <c r="C558" s="1" t="s">
        <v>182</v>
      </c>
      <c r="D558" s="1" t="s">
        <v>183</v>
      </c>
      <c r="E558" s="1" t="s">
        <v>331</v>
      </c>
      <c r="F558" s="1" t="s">
        <v>332</v>
      </c>
      <c r="I558" s="1"/>
      <c r="J558" s="1"/>
      <c r="K558" s="1"/>
      <c r="L558" s="1"/>
      <c r="O558" s="1"/>
      <c r="P558" s="1"/>
    </row>
    <row r="559" spans="1:16" x14ac:dyDescent="0.35">
      <c r="A559" s="1" t="s">
        <v>78</v>
      </c>
      <c r="B559" s="1" t="s">
        <v>81</v>
      </c>
      <c r="C559" s="1" t="s">
        <v>182</v>
      </c>
      <c r="D559" s="1" t="s">
        <v>183</v>
      </c>
      <c r="E559" s="1" t="s">
        <v>447</v>
      </c>
      <c r="F559" s="1" t="s">
        <v>448</v>
      </c>
      <c r="I559" s="1"/>
      <c r="J559" s="1"/>
      <c r="K559" s="1"/>
      <c r="L559" s="1"/>
      <c r="O559" s="1"/>
      <c r="P559" s="1"/>
    </row>
    <row r="560" spans="1:16" x14ac:dyDescent="0.35">
      <c r="A560" s="1" t="s">
        <v>78</v>
      </c>
      <c r="B560" s="1" t="s">
        <v>81</v>
      </c>
      <c r="C560" s="1" t="s">
        <v>182</v>
      </c>
      <c r="D560" s="1" t="s">
        <v>183</v>
      </c>
      <c r="E560" s="1" t="s">
        <v>457</v>
      </c>
      <c r="F560" s="1" t="s">
        <v>458</v>
      </c>
      <c r="I560" s="1"/>
      <c r="J560" s="1"/>
      <c r="K560" s="1"/>
      <c r="L560" s="1"/>
      <c r="O560" s="1"/>
      <c r="P560" s="1"/>
    </row>
    <row r="561" spans="1:16" x14ac:dyDescent="0.35">
      <c r="A561" s="1" t="s">
        <v>78</v>
      </c>
      <c r="B561" s="1" t="s">
        <v>81</v>
      </c>
      <c r="C561" s="1" t="s">
        <v>182</v>
      </c>
      <c r="D561" s="1" t="s">
        <v>183</v>
      </c>
      <c r="E561" s="1" t="s">
        <v>612</v>
      </c>
      <c r="F561" s="1" t="s">
        <v>613</v>
      </c>
      <c r="I561" s="1"/>
      <c r="J561" s="1"/>
      <c r="K561" s="1"/>
      <c r="L561" s="1"/>
      <c r="O561" s="1"/>
      <c r="P561" s="1"/>
    </row>
    <row r="562" spans="1:16" x14ac:dyDescent="0.35">
      <c r="A562" s="1" t="s">
        <v>78</v>
      </c>
      <c r="B562" s="1" t="s">
        <v>81</v>
      </c>
      <c r="C562" s="1" t="s">
        <v>182</v>
      </c>
      <c r="D562" s="1" t="s">
        <v>183</v>
      </c>
      <c r="E562" s="1" t="s">
        <v>878</v>
      </c>
      <c r="F562" s="1" t="s">
        <v>879</v>
      </c>
      <c r="I562" s="1"/>
      <c r="J562" s="1"/>
      <c r="K562" s="1"/>
      <c r="L562" s="1"/>
      <c r="O562" s="1"/>
      <c r="P562" s="1"/>
    </row>
    <row r="563" spans="1:16" x14ac:dyDescent="0.35">
      <c r="A563" s="1" t="s">
        <v>78</v>
      </c>
      <c r="B563" s="1" t="s">
        <v>81</v>
      </c>
      <c r="C563" s="1" t="s">
        <v>182</v>
      </c>
      <c r="D563" s="1" t="s">
        <v>183</v>
      </c>
      <c r="E563" s="1" t="s">
        <v>983</v>
      </c>
      <c r="F563" s="1" t="s">
        <v>984</v>
      </c>
      <c r="I563" s="1"/>
      <c r="J563" s="1"/>
      <c r="K563" s="1"/>
      <c r="L563" s="1"/>
      <c r="O563" s="1"/>
      <c r="P563" s="1"/>
    </row>
    <row r="564" spans="1:16" x14ac:dyDescent="0.35">
      <c r="A564" s="1" t="s">
        <v>78</v>
      </c>
      <c r="B564" s="1" t="s">
        <v>81</v>
      </c>
      <c r="C564" s="1" t="s">
        <v>182</v>
      </c>
      <c r="D564" s="1" t="s">
        <v>183</v>
      </c>
      <c r="E564" s="1" t="s">
        <v>1102</v>
      </c>
      <c r="F564" s="1" t="s">
        <v>1103</v>
      </c>
      <c r="I564" s="1"/>
      <c r="J564" s="1"/>
      <c r="K564" s="1"/>
      <c r="L564" s="1"/>
      <c r="O564" s="1"/>
      <c r="P564" s="1"/>
    </row>
    <row r="565" spans="1:16" x14ac:dyDescent="0.35">
      <c r="A565" s="1" t="s">
        <v>78</v>
      </c>
      <c r="B565" s="1" t="s">
        <v>81</v>
      </c>
      <c r="C565" s="1" t="s">
        <v>182</v>
      </c>
      <c r="D565" s="1" t="s">
        <v>183</v>
      </c>
      <c r="E565" s="1" t="s">
        <v>1218</v>
      </c>
      <c r="F565" s="1" t="s">
        <v>1219</v>
      </c>
      <c r="I565" s="1"/>
      <c r="J565" s="1"/>
      <c r="K565" s="1"/>
      <c r="L565" s="1"/>
      <c r="O565" s="1"/>
      <c r="P565" s="1"/>
    </row>
    <row r="566" spans="1:16" x14ac:dyDescent="0.35">
      <c r="A566" s="1" t="s">
        <v>78</v>
      </c>
      <c r="B566" s="1" t="s">
        <v>81</v>
      </c>
      <c r="C566" s="1" t="s">
        <v>182</v>
      </c>
      <c r="D566" s="1" t="s">
        <v>183</v>
      </c>
      <c r="E566" s="1" t="s">
        <v>1236</v>
      </c>
      <c r="F566" s="1" t="s">
        <v>1237</v>
      </c>
      <c r="I566" s="1"/>
      <c r="J566" s="1"/>
      <c r="K566" s="1"/>
      <c r="L566" s="1"/>
      <c r="O566" s="1"/>
      <c r="P566" s="1"/>
    </row>
    <row r="567" spans="1:16" x14ac:dyDescent="0.35">
      <c r="A567" s="1" t="s">
        <v>78</v>
      </c>
      <c r="B567" s="1" t="s">
        <v>81</v>
      </c>
      <c r="C567" s="1" t="s">
        <v>182</v>
      </c>
      <c r="D567" s="1" t="s">
        <v>183</v>
      </c>
      <c r="E567" s="1" t="s">
        <v>1291</v>
      </c>
      <c r="F567" s="1" t="s">
        <v>1292</v>
      </c>
      <c r="I567" s="1"/>
      <c r="J567" s="1"/>
      <c r="K567" s="1"/>
      <c r="L567" s="1"/>
      <c r="O567" s="1"/>
      <c r="P567" s="1"/>
    </row>
    <row r="568" spans="1:16" x14ac:dyDescent="0.35">
      <c r="A568" s="1" t="s">
        <v>78</v>
      </c>
      <c r="B568" s="1" t="s">
        <v>81</v>
      </c>
      <c r="C568" s="1" t="s">
        <v>182</v>
      </c>
      <c r="D568" s="1" t="s">
        <v>183</v>
      </c>
      <c r="E568" s="1" t="s">
        <v>1352</v>
      </c>
      <c r="F568" s="1" t="s">
        <v>1353</v>
      </c>
      <c r="I568" s="1"/>
      <c r="J568" s="1"/>
      <c r="K568" s="1"/>
      <c r="L568" s="1"/>
      <c r="O568" s="1"/>
      <c r="P568" s="1"/>
    </row>
    <row r="569" spans="1:16" x14ac:dyDescent="0.35">
      <c r="A569" s="1" t="s">
        <v>78</v>
      </c>
      <c r="B569" s="1" t="s">
        <v>81</v>
      </c>
      <c r="C569" s="1" t="s">
        <v>184</v>
      </c>
      <c r="D569" s="1" t="s">
        <v>185</v>
      </c>
      <c r="E569" s="1" t="s">
        <v>565</v>
      </c>
      <c r="F569" s="1" t="s">
        <v>566</v>
      </c>
      <c r="I569" s="1"/>
      <c r="J569" s="1"/>
      <c r="K569" s="1"/>
      <c r="L569" s="1"/>
      <c r="O569" s="1"/>
      <c r="P569" s="1"/>
    </row>
    <row r="570" spans="1:16" x14ac:dyDescent="0.35">
      <c r="A570" s="1" t="s">
        <v>78</v>
      </c>
      <c r="B570" s="1" t="s">
        <v>81</v>
      </c>
      <c r="C570" s="1" t="s">
        <v>184</v>
      </c>
      <c r="D570" s="1" t="s">
        <v>185</v>
      </c>
      <c r="E570" s="1" t="s">
        <v>590</v>
      </c>
      <c r="F570" s="1" t="s">
        <v>591</v>
      </c>
      <c r="I570" s="1"/>
      <c r="J570" s="1"/>
      <c r="K570" s="1"/>
      <c r="L570" s="1"/>
      <c r="O570" s="1"/>
      <c r="P570" s="1"/>
    </row>
    <row r="571" spans="1:16" x14ac:dyDescent="0.35">
      <c r="A571" s="1" t="s">
        <v>78</v>
      </c>
      <c r="B571" s="1" t="s">
        <v>81</v>
      </c>
      <c r="C571" s="1" t="s">
        <v>184</v>
      </c>
      <c r="D571" s="1" t="s">
        <v>185</v>
      </c>
      <c r="E571" s="1" t="s">
        <v>640</v>
      </c>
      <c r="F571" s="1" t="s">
        <v>642</v>
      </c>
      <c r="I571" s="1"/>
      <c r="J571" s="1"/>
      <c r="K571" s="1"/>
      <c r="L571" s="1"/>
      <c r="O571" s="1"/>
      <c r="P571" s="1"/>
    </row>
    <row r="572" spans="1:16" x14ac:dyDescent="0.35">
      <c r="A572" s="1" t="s">
        <v>78</v>
      </c>
      <c r="B572" s="1" t="s">
        <v>81</v>
      </c>
      <c r="C572" s="1" t="s">
        <v>184</v>
      </c>
      <c r="D572" s="1" t="s">
        <v>185</v>
      </c>
      <c r="E572" s="1" t="s">
        <v>704</v>
      </c>
      <c r="F572" s="1" t="s">
        <v>705</v>
      </c>
      <c r="I572" s="1"/>
      <c r="J572" s="1"/>
      <c r="K572" s="1"/>
      <c r="L572" s="1"/>
      <c r="O572" s="1"/>
      <c r="P572" s="1"/>
    </row>
    <row r="573" spans="1:16" x14ac:dyDescent="0.35">
      <c r="A573" s="1" t="s">
        <v>78</v>
      </c>
      <c r="B573" s="1" t="s">
        <v>81</v>
      </c>
      <c r="C573" s="1" t="s">
        <v>184</v>
      </c>
      <c r="D573" s="1" t="s">
        <v>185</v>
      </c>
      <c r="E573" s="1" t="s">
        <v>830</v>
      </c>
      <c r="F573" s="1" t="s">
        <v>831</v>
      </c>
      <c r="I573" s="1"/>
      <c r="J573" s="1"/>
      <c r="K573" s="1"/>
      <c r="L573" s="1"/>
      <c r="O573" s="1"/>
      <c r="P573" s="1"/>
    </row>
    <row r="574" spans="1:16" x14ac:dyDescent="0.35">
      <c r="A574" s="1" t="s">
        <v>78</v>
      </c>
      <c r="B574" s="1" t="s">
        <v>81</v>
      </c>
      <c r="C574" s="1" t="s">
        <v>184</v>
      </c>
      <c r="D574" s="1" t="s">
        <v>185</v>
      </c>
      <c r="E574" s="1" t="s">
        <v>1200</v>
      </c>
      <c r="F574" s="1" t="s">
        <v>1201</v>
      </c>
      <c r="I574" s="1"/>
      <c r="J574" s="1"/>
      <c r="K574" s="1"/>
      <c r="L574" s="1"/>
      <c r="O574" s="1"/>
      <c r="P574" s="1"/>
    </row>
    <row r="575" spans="1:16" x14ac:dyDescent="0.35">
      <c r="A575" s="1" t="s">
        <v>78</v>
      </c>
      <c r="B575" s="1" t="s">
        <v>81</v>
      </c>
      <c r="C575" s="1" t="s">
        <v>184</v>
      </c>
      <c r="D575" s="1" t="s">
        <v>185</v>
      </c>
      <c r="E575" s="1" t="s">
        <v>1245</v>
      </c>
      <c r="F575" s="1" t="s">
        <v>1246</v>
      </c>
      <c r="I575" s="1"/>
      <c r="J575" s="1"/>
      <c r="K575" s="1"/>
      <c r="L575" s="1"/>
      <c r="O575" s="1"/>
      <c r="P575" s="1"/>
    </row>
    <row r="576" spans="1:16" x14ac:dyDescent="0.35">
      <c r="A576" s="1" t="s">
        <v>78</v>
      </c>
      <c r="B576" s="1" t="s">
        <v>81</v>
      </c>
      <c r="C576" s="1" t="s">
        <v>184</v>
      </c>
      <c r="D576" s="1" t="s">
        <v>185</v>
      </c>
      <c r="E576" s="1" t="s">
        <v>1373</v>
      </c>
      <c r="F576" s="1" t="s">
        <v>1374</v>
      </c>
      <c r="I576" s="1"/>
      <c r="J576" s="1"/>
      <c r="K576" s="1"/>
      <c r="L576" s="1"/>
      <c r="O576" s="1"/>
      <c r="P576" s="1"/>
    </row>
    <row r="577" spans="1:16" x14ac:dyDescent="0.35">
      <c r="A577" s="1" t="s">
        <v>78</v>
      </c>
      <c r="B577" s="1" t="s">
        <v>81</v>
      </c>
      <c r="C577" s="1" t="s">
        <v>184</v>
      </c>
      <c r="D577" s="1" t="s">
        <v>185</v>
      </c>
      <c r="E577" s="1" t="s">
        <v>1456</v>
      </c>
      <c r="F577" s="1" t="s">
        <v>1457</v>
      </c>
      <c r="I577" s="1"/>
      <c r="J577" s="1"/>
      <c r="K577" s="1"/>
      <c r="L577" s="1"/>
      <c r="O577" s="1"/>
      <c r="P577" s="1"/>
    </row>
    <row r="578" spans="1:16" x14ac:dyDescent="0.35">
      <c r="A578" s="1" t="s">
        <v>78</v>
      </c>
      <c r="B578" s="1" t="s">
        <v>81</v>
      </c>
      <c r="C578" s="1" t="s">
        <v>184</v>
      </c>
      <c r="D578" s="1" t="s">
        <v>185</v>
      </c>
      <c r="E578" s="1" t="s">
        <v>1573</v>
      </c>
      <c r="F578" s="1" t="s">
        <v>1574</v>
      </c>
      <c r="I578" s="1"/>
      <c r="J578" s="1"/>
      <c r="K578" s="1"/>
      <c r="L578" s="1"/>
      <c r="O578" s="1"/>
      <c r="P578" s="1"/>
    </row>
    <row r="579" spans="1:16" x14ac:dyDescent="0.35">
      <c r="A579" s="1" t="s">
        <v>78</v>
      </c>
      <c r="B579" s="1" t="s">
        <v>81</v>
      </c>
      <c r="C579" s="1" t="s">
        <v>186</v>
      </c>
      <c r="D579" s="1" t="s">
        <v>187</v>
      </c>
      <c r="E579" s="1" t="s">
        <v>235</v>
      </c>
      <c r="F579" s="1" t="s">
        <v>237</v>
      </c>
      <c r="I579" s="1"/>
      <c r="J579" s="1"/>
      <c r="K579" s="1"/>
      <c r="L579" s="1"/>
      <c r="O579" s="1"/>
      <c r="P579" s="1"/>
    </row>
    <row r="580" spans="1:16" x14ac:dyDescent="0.35">
      <c r="A580" s="1" t="s">
        <v>78</v>
      </c>
      <c r="B580" s="1" t="s">
        <v>81</v>
      </c>
      <c r="C580" s="1" t="s">
        <v>186</v>
      </c>
      <c r="D580" s="1" t="s">
        <v>187</v>
      </c>
      <c r="E580" s="1" t="s">
        <v>369</v>
      </c>
      <c r="F580" s="1" t="s">
        <v>370</v>
      </c>
      <c r="I580" s="1"/>
      <c r="J580" s="1"/>
      <c r="K580" s="1"/>
      <c r="L580" s="1"/>
      <c r="O580" s="1"/>
      <c r="P580" s="1"/>
    </row>
    <row r="581" spans="1:16" x14ac:dyDescent="0.35">
      <c r="A581" s="1" t="s">
        <v>78</v>
      </c>
      <c r="B581" s="1" t="s">
        <v>81</v>
      </c>
      <c r="C581" s="1" t="s">
        <v>186</v>
      </c>
      <c r="D581" s="1" t="s">
        <v>187</v>
      </c>
      <c r="E581" s="1" t="s">
        <v>441</v>
      </c>
      <c r="F581" s="1" t="s">
        <v>442</v>
      </c>
      <c r="I581" s="1"/>
      <c r="J581" s="1"/>
      <c r="K581" s="1"/>
      <c r="L581" s="1"/>
      <c r="O581" s="1"/>
      <c r="P581" s="1"/>
    </row>
    <row r="582" spans="1:16" x14ac:dyDescent="0.35">
      <c r="A582" s="1" t="s">
        <v>78</v>
      </c>
      <c r="B582" s="1" t="s">
        <v>81</v>
      </c>
      <c r="C582" s="1" t="s">
        <v>186</v>
      </c>
      <c r="D582" s="1" t="s">
        <v>187</v>
      </c>
      <c r="E582" s="1" t="s">
        <v>443</v>
      </c>
      <c r="F582" s="1" t="s">
        <v>444</v>
      </c>
      <c r="I582" s="1"/>
      <c r="J582" s="1"/>
      <c r="K582" s="1"/>
      <c r="L582" s="1"/>
      <c r="O582" s="1"/>
      <c r="P582" s="1"/>
    </row>
    <row r="583" spans="1:16" x14ac:dyDescent="0.35">
      <c r="A583" s="1" t="s">
        <v>78</v>
      </c>
      <c r="B583" s="1" t="s">
        <v>81</v>
      </c>
      <c r="C583" s="1" t="s">
        <v>186</v>
      </c>
      <c r="D583" s="1" t="s">
        <v>187</v>
      </c>
      <c r="E583" s="1" t="s">
        <v>471</v>
      </c>
      <c r="F583" s="1" t="s">
        <v>472</v>
      </c>
      <c r="I583" s="1"/>
      <c r="J583" s="1"/>
      <c r="K583" s="1"/>
      <c r="L583" s="1"/>
      <c r="O583" s="1"/>
      <c r="P583" s="1"/>
    </row>
    <row r="584" spans="1:16" x14ac:dyDescent="0.35">
      <c r="A584" s="1" t="s">
        <v>78</v>
      </c>
      <c r="B584" s="1" t="s">
        <v>81</v>
      </c>
      <c r="C584" s="1" t="s">
        <v>186</v>
      </c>
      <c r="D584" s="1" t="s">
        <v>187</v>
      </c>
      <c r="E584" s="1" t="s">
        <v>473</v>
      </c>
      <c r="F584" s="1" t="s">
        <v>474</v>
      </c>
      <c r="I584" s="1"/>
      <c r="J584" s="1"/>
      <c r="K584" s="1"/>
      <c r="L584" s="1"/>
      <c r="O584" s="1"/>
      <c r="P584" s="1"/>
    </row>
    <row r="585" spans="1:16" x14ac:dyDescent="0.35">
      <c r="A585" s="1" t="s">
        <v>78</v>
      </c>
      <c r="B585" s="1" t="s">
        <v>81</v>
      </c>
      <c r="C585" s="1" t="s">
        <v>186</v>
      </c>
      <c r="D585" s="1" t="s">
        <v>187</v>
      </c>
      <c r="E585" s="1" t="s">
        <v>819</v>
      </c>
      <c r="F585" s="1" t="s">
        <v>820</v>
      </c>
      <c r="I585" s="1"/>
      <c r="J585" s="1"/>
      <c r="K585" s="1"/>
      <c r="L585" s="1"/>
      <c r="O585" s="1"/>
      <c r="P585" s="1"/>
    </row>
    <row r="586" spans="1:16" x14ac:dyDescent="0.35">
      <c r="A586" s="1" t="s">
        <v>78</v>
      </c>
      <c r="B586" s="1" t="s">
        <v>81</v>
      </c>
      <c r="C586" s="1" t="s">
        <v>186</v>
      </c>
      <c r="D586" s="1" t="s">
        <v>187</v>
      </c>
      <c r="E586" s="1" t="s">
        <v>910</v>
      </c>
      <c r="F586" s="1" t="s">
        <v>911</v>
      </c>
      <c r="I586" s="1"/>
      <c r="J586" s="1"/>
      <c r="K586" s="1"/>
      <c r="L586" s="1"/>
      <c r="O586" s="1"/>
      <c r="P586" s="1"/>
    </row>
    <row r="587" spans="1:16" x14ac:dyDescent="0.35">
      <c r="A587" s="1" t="s">
        <v>78</v>
      </c>
      <c r="B587" s="1" t="s">
        <v>81</v>
      </c>
      <c r="C587" s="1" t="s">
        <v>186</v>
      </c>
      <c r="D587" s="1" t="s">
        <v>187</v>
      </c>
      <c r="E587" s="1" t="s">
        <v>952</v>
      </c>
      <c r="F587" s="1" t="s">
        <v>953</v>
      </c>
      <c r="I587" s="1"/>
      <c r="J587" s="1"/>
      <c r="K587" s="1"/>
      <c r="L587" s="1"/>
      <c r="O587" s="1"/>
      <c r="P587" s="1"/>
    </row>
    <row r="588" spans="1:16" x14ac:dyDescent="0.35">
      <c r="A588" s="1" t="s">
        <v>78</v>
      </c>
      <c r="B588" s="1" t="s">
        <v>81</v>
      </c>
      <c r="C588" s="1" t="s">
        <v>186</v>
      </c>
      <c r="D588" s="1" t="s">
        <v>187</v>
      </c>
      <c r="E588" s="1" t="s">
        <v>1134</v>
      </c>
      <c r="F588" s="1" t="s">
        <v>1135</v>
      </c>
      <c r="I588" s="1"/>
      <c r="J588" s="1"/>
      <c r="K588" s="1"/>
      <c r="L588" s="1"/>
      <c r="O588" s="1"/>
      <c r="P588" s="1"/>
    </row>
    <row r="589" spans="1:16" x14ac:dyDescent="0.35">
      <c r="A589" s="1" t="s">
        <v>78</v>
      </c>
      <c r="B589" s="1" t="s">
        <v>81</v>
      </c>
      <c r="C589" s="1" t="s">
        <v>186</v>
      </c>
      <c r="D589" s="1" t="s">
        <v>187</v>
      </c>
      <c r="E589" s="1" t="s">
        <v>1141</v>
      </c>
      <c r="F589" s="1" t="s">
        <v>1142</v>
      </c>
      <c r="I589" s="1"/>
      <c r="J589" s="1"/>
      <c r="K589" s="1"/>
      <c r="L589" s="1"/>
      <c r="O589" s="1"/>
      <c r="P589" s="1"/>
    </row>
    <row r="590" spans="1:16" x14ac:dyDescent="0.35">
      <c r="A590" s="1" t="s">
        <v>78</v>
      </c>
      <c r="B590" s="1" t="s">
        <v>81</v>
      </c>
      <c r="C590" s="1" t="s">
        <v>186</v>
      </c>
      <c r="D590" s="1" t="s">
        <v>187</v>
      </c>
      <c r="E590" s="1" t="s">
        <v>1257</v>
      </c>
      <c r="F590" s="1" t="s">
        <v>1258</v>
      </c>
      <c r="I590" s="1"/>
      <c r="J590" s="1"/>
      <c r="K590" s="1"/>
      <c r="L590" s="1"/>
      <c r="O590" s="1"/>
      <c r="P590" s="1"/>
    </row>
    <row r="591" spans="1:16" x14ac:dyDescent="0.35">
      <c r="A591" s="1" t="s">
        <v>78</v>
      </c>
      <c r="B591" s="1" t="s">
        <v>81</v>
      </c>
      <c r="C591" s="1" t="s">
        <v>186</v>
      </c>
      <c r="D591" s="1" t="s">
        <v>187</v>
      </c>
      <c r="E591" s="1" t="s">
        <v>1259</v>
      </c>
      <c r="F591" s="1" t="s">
        <v>1260</v>
      </c>
      <c r="I591" s="1"/>
      <c r="J591" s="1"/>
      <c r="K591" s="1"/>
      <c r="L591" s="1"/>
      <c r="O591" s="1"/>
      <c r="P591" s="1"/>
    </row>
    <row r="592" spans="1:16" x14ac:dyDescent="0.35">
      <c r="A592" s="1" t="s">
        <v>78</v>
      </c>
      <c r="B592" s="1" t="s">
        <v>81</v>
      </c>
      <c r="C592" s="1" t="s">
        <v>188</v>
      </c>
      <c r="D592" s="1" t="s">
        <v>189</v>
      </c>
      <c r="E592" s="1" t="s">
        <v>256</v>
      </c>
      <c r="F592" s="1" t="s">
        <v>257</v>
      </c>
      <c r="I592" s="1"/>
      <c r="J592" s="1"/>
      <c r="K592" s="1"/>
      <c r="L592" s="1"/>
      <c r="O592" s="1"/>
      <c r="P592" s="1"/>
    </row>
    <row r="593" spans="1:16" x14ac:dyDescent="0.35">
      <c r="A593" s="1" t="s">
        <v>78</v>
      </c>
      <c r="B593" s="1" t="s">
        <v>81</v>
      </c>
      <c r="C593" s="1" t="s">
        <v>188</v>
      </c>
      <c r="D593" s="1" t="s">
        <v>189</v>
      </c>
      <c r="E593" s="1" t="s">
        <v>258</v>
      </c>
      <c r="F593" s="1" t="s">
        <v>259</v>
      </c>
      <c r="I593" s="1"/>
      <c r="J593" s="1"/>
      <c r="K593" s="1"/>
      <c r="L593" s="1"/>
      <c r="O593" s="1"/>
      <c r="P593" s="1"/>
    </row>
    <row r="594" spans="1:16" x14ac:dyDescent="0.35">
      <c r="A594" s="1" t="s">
        <v>78</v>
      </c>
      <c r="B594" s="1" t="s">
        <v>81</v>
      </c>
      <c r="C594" s="1" t="s">
        <v>188</v>
      </c>
      <c r="D594" s="1" t="s">
        <v>189</v>
      </c>
      <c r="E594" s="1" t="s">
        <v>290</v>
      </c>
      <c r="F594" s="1" t="s">
        <v>291</v>
      </c>
      <c r="I594" s="1"/>
      <c r="J594" s="1"/>
      <c r="K594" s="1"/>
      <c r="L594" s="1"/>
      <c r="O594" s="1"/>
      <c r="P594" s="1"/>
    </row>
    <row r="595" spans="1:16" x14ac:dyDescent="0.35">
      <c r="A595" s="1" t="s">
        <v>78</v>
      </c>
      <c r="B595" s="1" t="s">
        <v>81</v>
      </c>
      <c r="C595" s="1" t="s">
        <v>188</v>
      </c>
      <c r="D595" s="1" t="s">
        <v>189</v>
      </c>
      <c r="E595" s="1" t="s">
        <v>367</v>
      </c>
      <c r="F595" s="1" t="s">
        <v>368</v>
      </c>
      <c r="I595" s="1"/>
      <c r="J595" s="1"/>
      <c r="K595" s="1"/>
      <c r="L595" s="1"/>
      <c r="O595" s="1"/>
      <c r="P595" s="1"/>
    </row>
    <row r="596" spans="1:16" x14ac:dyDescent="0.35">
      <c r="A596" s="1" t="s">
        <v>78</v>
      </c>
      <c r="B596" s="1" t="s">
        <v>81</v>
      </c>
      <c r="C596" s="1" t="s">
        <v>188</v>
      </c>
      <c r="D596" s="1" t="s">
        <v>189</v>
      </c>
      <c r="E596" s="1" t="s">
        <v>572</v>
      </c>
      <c r="F596" s="1" t="s">
        <v>573</v>
      </c>
      <c r="I596" s="1"/>
      <c r="J596" s="1"/>
      <c r="K596" s="1"/>
      <c r="L596" s="1"/>
      <c r="O596" s="1"/>
      <c r="P596" s="1"/>
    </row>
    <row r="597" spans="1:16" x14ac:dyDescent="0.35">
      <c r="A597" s="1" t="s">
        <v>78</v>
      </c>
      <c r="B597" s="1" t="s">
        <v>81</v>
      </c>
      <c r="C597" s="1" t="s">
        <v>188</v>
      </c>
      <c r="D597" s="1" t="s">
        <v>189</v>
      </c>
      <c r="E597" s="1" t="s">
        <v>576</v>
      </c>
      <c r="F597" s="1" t="s">
        <v>577</v>
      </c>
      <c r="I597" s="1"/>
      <c r="J597" s="1"/>
      <c r="K597" s="1"/>
      <c r="L597" s="1"/>
      <c r="O597" s="1"/>
      <c r="P597" s="1"/>
    </row>
    <row r="598" spans="1:16" x14ac:dyDescent="0.35">
      <c r="A598" s="1" t="s">
        <v>78</v>
      </c>
      <c r="B598" s="1" t="s">
        <v>81</v>
      </c>
      <c r="C598" s="1" t="s">
        <v>188</v>
      </c>
      <c r="D598" s="1" t="s">
        <v>189</v>
      </c>
      <c r="E598" s="1" t="s">
        <v>724</v>
      </c>
      <c r="F598" s="1" t="s">
        <v>725</v>
      </c>
      <c r="I598" s="1"/>
      <c r="J598" s="1"/>
      <c r="K598" s="1"/>
      <c r="L598" s="1"/>
      <c r="O598" s="1"/>
      <c r="P598" s="1"/>
    </row>
    <row r="599" spans="1:16" x14ac:dyDescent="0.35">
      <c r="A599" s="1" t="s">
        <v>78</v>
      </c>
      <c r="B599" s="1" t="s">
        <v>81</v>
      </c>
      <c r="C599" s="1" t="s">
        <v>188</v>
      </c>
      <c r="D599" s="1" t="s">
        <v>189</v>
      </c>
      <c r="E599" s="1" t="s">
        <v>783</v>
      </c>
      <c r="F599" s="1" t="s">
        <v>786</v>
      </c>
      <c r="I599" s="1"/>
      <c r="J599" s="1"/>
      <c r="K599" s="1"/>
      <c r="L599" s="1"/>
      <c r="O599" s="1"/>
      <c r="P599" s="1"/>
    </row>
    <row r="600" spans="1:16" x14ac:dyDescent="0.35">
      <c r="A600" s="1" t="s">
        <v>78</v>
      </c>
      <c r="B600" s="1" t="s">
        <v>81</v>
      </c>
      <c r="C600" s="1" t="s">
        <v>188</v>
      </c>
      <c r="D600" s="1" t="s">
        <v>189</v>
      </c>
      <c r="E600" s="1" t="s">
        <v>856</v>
      </c>
      <c r="F600" s="1" t="s">
        <v>857</v>
      </c>
      <c r="I600" s="1"/>
      <c r="J600" s="1"/>
      <c r="K600" s="1"/>
      <c r="L600" s="1"/>
      <c r="O600" s="1"/>
      <c r="P600" s="1"/>
    </row>
    <row r="601" spans="1:16" x14ac:dyDescent="0.35">
      <c r="A601" s="1" t="s">
        <v>78</v>
      </c>
      <c r="B601" s="1" t="s">
        <v>81</v>
      </c>
      <c r="C601" s="1" t="s">
        <v>188</v>
      </c>
      <c r="D601" s="1" t="s">
        <v>189</v>
      </c>
      <c r="E601" s="1" t="s">
        <v>1009</v>
      </c>
      <c r="F601" s="1" t="s">
        <v>1010</v>
      </c>
      <c r="I601" s="1"/>
      <c r="J601" s="1"/>
      <c r="K601" s="1"/>
      <c r="L601" s="1"/>
      <c r="O601" s="1"/>
      <c r="P601" s="1"/>
    </row>
    <row r="602" spans="1:16" x14ac:dyDescent="0.35">
      <c r="A602" s="1" t="s">
        <v>78</v>
      </c>
      <c r="B602" s="1" t="s">
        <v>81</v>
      </c>
      <c r="C602" s="1" t="s">
        <v>188</v>
      </c>
      <c r="D602" s="1" t="s">
        <v>189</v>
      </c>
      <c r="E602" s="1" t="s">
        <v>1074</v>
      </c>
      <c r="F602" s="1" t="s">
        <v>1075</v>
      </c>
      <c r="I602" s="1"/>
      <c r="J602" s="1"/>
      <c r="K602" s="1"/>
      <c r="L602" s="1"/>
      <c r="O602" s="1"/>
      <c r="P602" s="1"/>
    </row>
    <row r="603" spans="1:16" x14ac:dyDescent="0.35">
      <c r="A603" s="1" t="s">
        <v>78</v>
      </c>
      <c r="B603" s="1" t="s">
        <v>81</v>
      </c>
      <c r="C603" s="1" t="s">
        <v>190</v>
      </c>
      <c r="D603" s="1" t="s">
        <v>191</v>
      </c>
      <c r="E603" s="1" t="s">
        <v>401</v>
      </c>
      <c r="F603" s="1" t="s">
        <v>402</v>
      </c>
      <c r="I603" s="1"/>
      <c r="J603" s="1"/>
      <c r="K603" s="1"/>
      <c r="L603" s="1"/>
      <c r="O603" s="1"/>
      <c r="P603" s="1"/>
    </row>
    <row r="604" spans="1:16" x14ac:dyDescent="0.35">
      <c r="A604" s="1" t="s">
        <v>78</v>
      </c>
      <c r="B604" s="1" t="s">
        <v>81</v>
      </c>
      <c r="C604" s="1" t="s">
        <v>190</v>
      </c>
      <c r="D604" s="1" t="s">
        <v>191</v>
      </c>
      <c r="E604" s="1" t="s">
        <v>403</v>
      </c>
      <c r="F604" s="1" t="s">
        <v>404</v>
      </c>
      <c r="I604" s="1"/>
      <c r="J604" s="1"/>
      <c r="K604" s="1"/>
      <c r="L604" s="1"/>
      <c r="O604" s="1"/>
      <c r="P604" s="1"/>
    </row>
    <row r="605" spans="1:16" x14ac:dyDescent="0.35">
      <c r="A605" s="1" t="s">
        <v>78</v>
      </c>
      <c r="B605" s="1" t="s">
        <v>81</v>
      </c>
      <c r="C605" s="1" t="s">
        <v>190</v>
      </c>
      <c r="D605" s="1" t="s">
        <v>191</v>
      </c>
      <c r="E605" s="1" t="s">
        <v>425</v>
      </c>
      <c r="F605" s="1" t="s">
        <v>426</v>
      </c>
      <c r="I605" s="1"/>
      <c r="J605" s="1"/>
      <c r="K605" s="1"/>
      <c r="L605" s="1"/>
      <c r="O605" s="1"/>
      <c r="P605" s="1"/>
    </row>
    <row r="606" spans="1:16" x14ac:dyDescent="0.35">
      <c r="A606" s="1" t="s">
        <v>78</v>
      </c>
      <c r="B606" s="1" t="s">
        <v>81</v>
      </c>
      <c r="C606" s="1" t="s">
        <v>190</v>
      </c>
      <c r="D606" s="1" t="s">
        <v>191</v>
      </c>
      <c r="E606" s="1" t="s">
        <v>683</v>
      </c>
      <c r="F606" s="1" t="s">
        <v>685</v>
      </c>
      <c r="I606" s="1"/>
      <c r="J606" s="1"/>
      <c r="K606" s="1"/>
      <c r="L606" s="1"/>
      <c r="O606" s="1"/>
      <c r="P606" s="1"/>
    </row>
    <row r="607" spans="1:16" x14ac:dyDescent="0.35">
      <c r="A607" s="1" t="s">
        <v>78</v>
      </c>
      <c r="B607" s="1" t="s">
        <v>81</v>
      </c>
      <c r="C607" s="1" t="s">
        <v>190</v>
      </c>
      <c r="D607" s="1" t="s">
        <v>191</v>
      </c>
      <c r="E607" s="1" t="s">
        <v>692</v>
      </c>
      <c r="F607" s="1" t="s">
        <v>693</v>
      </c>
      <c r="I607" s="1"/>
      <c r="J607" s="1"/>
      <c r="K607" s="1"/>
      <c r="L607" s="1"/>
      <c r="O607" s="1"/>
      <c r="P607" s="1"/>
    </row>
    <row r="608" spans="1:16" x14ac:dyDescent="0.35">
      <c r="A608" s="1" t="s">
        <v>78</v>
      </c>
      <c r="B608" s="1" t="s">
        <v>81</v>
      </c>
      <c r="C608" s="1" t="s">
        <v>190</v>
      </c>
      <c r="D608" s="1" t="s">
        <v>191</v>
      </c>
      <c r="E608" s="1" t="s">
        <v>190</v>
      </c>
      <c r="F608" s="1" t="s">
        <v>714</v>
      </c>
      <c r="I608" s="1"/>
      <c r="J608" s="1"/>
      <c r="K608" s="1"/>
      <c r="L608" s="1"/>
      <c r="O608" s="1"/>
      <c r="P608" s="1"/>
    </row>
    <row r="609" spans="1:16" x14ac:dyDescent="0.35">
      <c r="A609" s="1" t="s">
        <v>78</v>
      </c>
      <c r="B609" s="1" t="s">
        <v>81</v>
      </c>
      <c r="C609" s="1" t="s">
        <v>190</v>
      </c>
      <c r="D609" s="1" t="s">
        <v>191</v>
      </c>
      <c r="E609" s="1" t="s">
        <v>1122</v>
      </c>
      <c r="F609" s="1" t="s">
        <v>1123</v>
      </c>
      <c r="I609" s="1"/>
      <c r="J609" s="1"/>
      <c r="K609" s="1"/>
      <c r="L609" s="1"/>
      <c r="O609" s="1"/>
      <c r="P609" s="1"/>
    </row>
    <row r="610" spans="1:16" x14ac:dyDescent="0.35">
      <c r="A610" s="1" t="s">
        <v>78</v>
      </c>
      <c r="B610" s="1" t="s">
        <v>81</v>
      </c>
      <c r="C610" s="1" t="s">
        <v>190</v>
      </c>
      <c r="D610" s="1" t="s">
        <v>191</v>
      </c>
      <c r="E610" s="1" t="s">
        <v>1224</v>
      </c>
      <c r="F610" s="1" t="s">
        <v>1225</v>
      </c>
      <c r="I610" s="1"/>
      <c r="J610" s="1"/>
      <c r="K610" s="1"/>
      <c r="L610" s="1"/>
      <c r="O610" s="1"/>
      <c r="P610" s="1"/>
    </row>
    <row r="611" spans="1:16" x14ac:dyDescent="0.35">
      <c r="A611" s="1" t="s">
        <v>78</v>
      </c>
      <c r="B611" s="1" t="s">
        <v>81</v>
      </c>
      <c r="C611" s="1" t="s">
        <v>190</v>
      </c>
      <c r="D611" s="1" t="s">
        <v>191</v>
      </c>
      <c r="E611" s="1" t="s">
        <v>1277</v>
      </c>
      <c r="F611" s="1" t="s">
        <v>1278</v>
      </c>
      <c r="I611" s="1"/>
      <c r="J611" s="1"/>
      <c r="K611" s="1"/>
      <c r="L611" s="1"/>
      <c r="O611" s="1"/>
      <c r="P611" s="1"/>
    </row>
    <row r="612" spans="1:16" x14ac:dyDescent="0.35">
      <c r="A612" s="1" t="s">
        <v>78</v>
      </c>
      <c r="B612" s="1" t="s">
        <v>81</v>
      </c>
      <c r="C612" s="1" t="s">
        <v>190</v>
      </c>
      <c r="D612" s="1" t="s">
        <v>191</v>
      </c>
      <c r="E612" s="1" t="s">
        <v>1481</v>
      </c>
      <c r="F612" s="1" t="s">
        <v>1482</v>
      </c>
      <c r="I612" s="1"/>
      <c r="J612" s="1"/>
      <c r="K612" s="1"/>
      <c r="L612" s="1"/>
      <c r="O612" s="1"/>
      <c r="P612" s="1"/>
    </row>
    <row r="613" spans="1:16" x14ac:dyDescent="0.35">
      <c r="A613" s="1" t="s">
        <v>78</v>
      </c>
      <c r="B613" s="1" t="s">
        <v>81</v>
      </c>
      <c r="C613" s="1" t="s">
        <v>192</v>
      </c>
      <c r="D613" s="1" t="s">
        <v>193</v>
      </c>
      <c r="E613" s="1" t="s">
        <v>300</v>
      </c>
      <c r="F613" s="1" t="s">
        <v>301</v>
      </c>
      <c r="I613" s="1"/>
      <c r="J613" s="1"/>
      <c r="K613" s="1"/>
      <c r="L613" s="1"/>
      <c r="O613" s="1"/>
      <c r="P613" s="1"/>
    </row>
    <row r="614" spans="1:16" x14ac:dyDescent="0.35">
      <c r="A614" s="1" t="s">
        <v>78</v>
      </c>
      <c r="B614" s="1" t="s">
        <v>81</v>
      </c>
      <c r="C614" s="1" t="s">
        <v>192</v>
      </c>
      <c r="D614" s="1" t="s">
        <v>193</v>
      </c>
      <c r="E614" s="1" t="s">
        <v>389</v>
      </c>
      <c r="F614" s="1" t="s">
        <v>390</v>
      </c>
      <c r="I614" s="1"/>
      <c r="J614" s="1"/>
      <c r="K614" s="1"/>
      <c r="L614" s="1"/>
      <c r="O614" s="1"/>
      <c r="P614" s="1"/>
    </row>
    <row r="615" spans="1:16" x14ac:dyDescent="0.35">
      <c r="A615" s="1" t="s">
        <v>78</v>
      </c>
      <c r="B615" s="1" t="s">
        <v>81</v>
      </c>
      <c r="C615" s="1" t="s">
        <v>192</v>
      </c>
      <c r="D615" s="1" t="s">
        <v>193</v>
      </c>
      <c r="E615" s="1" t="s">
        <v>397</v>
      </c>
      <c r="F615" s="1" t="s">
        <v>398</v>
      </c>
      <c r="I615" s="1"/>
      <c r="J615" s="1"/>
      <c r="K615" s="1"/>
      <c r="L615" s="1"/>
      <c r="O615" s="1"/>
      <c r="P615" s="1"/>
    </row>
    <row r="616" spans="1:16" x14ac:dyDescent="0.35">
      <c r="A616" s="1" t="s">
        <v>78</v>
      </c>
      <c r="B616" s="1" t="s">
        <v>81</v>
      </c>
      <c r="C616" s="1" t="s">
        <v>192</v>
      </c>
      <c r="D616" s="1" t="s">
        <v>193</v>
      </c>
      <c r="E616" s="1" t="s">
        <v>513</v>
      </c>
      <c r="F616" s="1" t="s">
        <v>514</v>
      </c>
      <c r="I616" s="1"/>
      <c r="J616" s="1"/>
      <c r="K616" s="1"/>
      <c r="L616" s="1"/>
      <c r="O616" s="1"/>
      <c r="P616" s="1"/>
    </row>
    <row r="617" spans="1:16" x14ac:dyDescent="0.35">
      <c r="A617" s="1" t="s">
        <v>78</v>
      </c>
      <c r="B617" s="1" t="s">
        <v>81</v>
      </c>
      <c r="C617" s="1" t="s">
        <v>192</v>
      </c>
      <c r="D617" s="1" t="s">
        <v>193</v>
      </c>
      <c r="E617" s="1" t="s">
        <v>584</v>
      </c>
      <c r="F617" s="1" t="s">
        <v>585</v>
      </c>
      <c r="I617" s="1"/>
      <c r="J617" s="1"/>
      <c r="K617" s="1"/>
      <c r="L617" s="1"/>
      <c r="O617" s="1"/>
      <c r="P617" s="1"/>
    </row>
    <row r="618" spans="1:16" x14ac:dyDescent="0.35">
      <c r="A618" s="1" t="s">
        <v>78</v>
      </c>
      <c r="B618" s="1" t="s">
        <v>81</v>
      </c>
      <c r="C618" s="1" t="s">
        <v>192</v>
      </c>
      <c r="D618" s="1" t="s">
        <v>193</v>
      </c>
      <c r="E618" s="1" t="s">
        <v>592</v>
      </c>
      <c r="F618" s="1" t="s">
        <v>593</v>
      </c>
      <c r="I618" s="1"/>
      <c r="J618" s="1"/>
      <c r="K618" s="1"/>
      <c r="L618" s="1"/>
      <c r="O618" s="1"/>
      <c r="P618" s="1"/>
    </row>
    <row r="619" spans="1:16" x14ac:dyDescent="0.35">
      <c r="A619" s="1" t="s">
        <v>78</v>
      </c>
      <c r="B619" s="1" t="s">
        <v>81</v>
      </c>
      <c r="C619" s="1" t="s">
        <v>192</v>
      </c>
      <c r="D619" s="1" t="s">
        <v>193</v>
      </c>
      <c r="E619" s="1" t="s">
        <v>634</v>
      </c>
      <c r="F619" s="1" t="s">
        <v>635</v>
      </c>
      <c r="I619" s="1"/>
      <c r="J619" s="1"/>
      <c r="K619" s="1"/>
      <c r="L619" s="1"/>
      <c r="O619" s="1"/>
      <c r="P619" s="1"/>
    </row>
    <row r="620" spans="1:16" x14ac:dyDescent="0.35">
      <c r="A620" s="1" t="s">
        <v>78</v>
      </c>
      <c r="B620" s="1" t="s">
        <v>81</v>
      </c>
      <c r="C620" s="1" t="s">
        <v>192</v>
      </c>
      <c r="D620" s="1" t="s">
        <v>193</v>
      </c>
      <c r="E620" s="1" t="s">
        <v>192</v>
      </c>
      <c r="F620" s="1" t="s">
        <v>719</v>
      </c>
      <c r="I620" s="1"/>
      <c r="J620" s="1"/>
      <c r="K620" s="1"/>
      <c r="L620" s="1"/>
      <c r="O620" s="1"/>
      <c r="P620" s="1"/>
    </row>
    <row r="621" spans="1:16" x14ac:dyDescent="0.35">
      <c r="A621" s="1" t="s">
        <v>78</v>
      </c>
      <c r="B621" s="1" t="s">
        <v>81</v>
      </c>
      <c r="C621" s="1" t="s">
        <v>192</v>
      </c>
      <c r="D621" s="1" t="s">
        <v>193</v>
      </c>
      <c r="E621" s="1" t="s">
        <v>1007</v>
      </c>
      <c r="F621" s="1" t="s">
        <v>1008</v>
      </c>
      <c r="I621" s="1"/>
      <c r="J621" s="1"/>
      <c r="K621" s="1"/>
      <c r="L621" s="1"/>
      <c r="O621" s="1"/>
      <c r="P621" s="1"/>
    </row>
    <row r="622" spans="1:16" x14ac:dyDescent="0.35">
      <c r="A622" s="1" t="s">
        <v>78</v>
      </c>
      <c r="B622" s="1" t="s">
        <v>81</v>
      </c>
      <c r="C622" s="1" t="s">
        <v>192</v>
      </c>
      <c r="D622" s="1" t="s">
        <v>193</v>
      </c>
      <c r="E622" s="1" t="s">
        <v>1287</v>
      </c>
      <c r="F622" s="1" t="s">
        <v>1288</v>
      </c>
      <c r="I622" s="1"/>
      <c r="J622" s="1"/>
      <c r="K622" s="1"/>
      <c r="L622" s="1"/>
      <c r="O622" s="1"/>
      <c r="P622" s="1"/>
    </row>
    <row r="623" spans="1:16" x14ac:dyDescent="0.35">
      <c r="A623" s="1" t="s">
        <v>78</v>
      </c>
      <c r="B623" s="1" t="s">
        <v>81</v>
      </c>
      <c r="C623" s="1" t="s">
        <v>192</v>
      </c>
      <c r="D623" s="1" t="s">
        <v>193</v>
      </c>
      <c r="E623" s="1" t="s">
        <v>1332</v>
      </c>
      <c r="F623" s="1" t="s">
        <v>1333</v>
      </c>
      <c r="I623" s="1"/>
      <c r="J623" s="1"/>
      <c r="K623" s="1"/>
      <c r="L623" s="1"/>
      <c r="O623" s="1"/>
      <c r="P623" s="1"/>
    </row>
    <row r="624" spans="1:16" x14ac:dyDescent="0.35">
      <c r="A624" s="1" t="s">
        <v>78</v>
      </c>
      <c r="B624" s="1" t="s">
        <v>81</v>
      </c>
      <c r="C624" s="1" t="s">
        <v>192</v>
      </c>
      <c r="D624" s="1" t="s">
        <v>193</v>
      </c>
      <c r="E624" s="1" t="s">
        <v>1423</v>
      </c>
      <c r="F624" s="1" t="s">
        <v>1424</v>
      </c>
      <c r="I624" s="1"/>
      <c r="J624" s="1"/>
      <c r="K624" s="1"/>
      <c r="L624" s="1"/>
      <c r="O624" s="1"/>
      <c r="P624" s="1"/>
    </row>
    <row r="625" spans="1:16" x14ac:dyDescent="0.35">
      <c r="A625" s="1" t="s">
        <v>78</v>
      </c>
      <c r="B625" s="1" t="s">
        <v>81</v>
      </c>
      <c r="C625" s="1" t="s">
        <v>194</v>
      </c>
      <c r="D625" s="1" t="s">
        <v>195</v>
      </c>
      <c r="E625" s="1" t="s">
        <v>379</v>
      </c>
      <c r="F625" s="1" t="s">
        <v>380</v>
      </c>
      <c r="I625" s="1"/>
      <c r="J625" s="1"/>
      <c r="K625" s="1"/>
      <c r="L625" s="1"/>
      <c r="O625" s="1"/>
      <c r="P625" s="1"/>
    </row>
    <row r="626" spans="1:16" x14ac:dyDescent="0.35">
      <c r="A626" s="1" t="s">
        <v>78</v>
      </c>
      <c r="B626" s="1" t="s">
        <v>81</v>
      </c>
      <c r="C626" s="1" t="s">
        <v>194</v>
      </c>
      <c r="D626" s="1" t="s">
        <v>195</v>
      </c>
      <c r="E626" s="1" t="s">
        <v>537</v>
      </c>
      <c r="F626" s="1" t="s">
        <v>538</v>
      </c>
      <c r="I626" s="1"/>
      <c r="J626" s="1"/>
      <c r="K626" s="1"/>
      <c r="L626" s="1"/>
      <c r="O626" s="1"/>
      <c r="P626" s="1"/>
    </row>
    <row r="627" spans="1:16" x14ac:dyDescent="0.35">
      <c r="A627" s="1" t="s">
        <v>78</v>
      </c>
      <c r="B627" s="1" t="s">
        <v>81</v>
      </c>
      <c r="C627" s="1" t="s">
        <v>194</v>
      </c>
      <c r="D627" s="1" t="s">
        <v>195</v>
      </c>
      <c r="E627" s="1" t="s">
        <v>667</v>
      </c>
      <c r="F627" s="1" t="s">
        <v>668</v>
      </c>
      <c r="I627" s="1"/>
      <c r="J627" s="1"/>
      <c r="K627" s="1"/>
      <c r="L627" s="1"/>
      <c r="O627" s="1"/>
      <c r="P627" s="1"/>
    </row>
    <row r="628" spans="1:16" x14ac:dyDescent="0.35">
      <c r="A628" s="1" t="s">
        <v>78</v>
      </c>
      <c r="B628" s="1" t="s">
        <v>81</v>
      </c>
      <c r="C628" s="1" t="s">
        <v>194</v>
      </c>
      <c r="D628" s="1" t="s">
        <v>195</v>
      </c>
      <c r="E628" s="1" t="s">
        <v>688</v>
      </c>
      <c r="F628" s="1" t="s">
        <v>689</v>
      </c>
      <c r="I628" s="1"/>
      <c r="J628" s="1"/>
      <c r="K628" s="1"/>
      <c r="L628" s="1"/>
      <c r="O628" s="1"/>
      <c r="P628" s="1"/>
    </row>
    <row r="629" spans="1:16" x14ac:dyDescent="0.35">
      <c r="A629" s="1" t="s">
        <v>78</v>
      </c>
      <c r="B629" s="1" t="s">
        <v>81</v>
      </c>
      <c r="C629" s="1" t="s">
        <v>194</v>
      </c>
      <c r="D629" s="1" t="s">
        <v>195</v>
      </c>
      <c r="E629" s="1" t="s">
        <v>809</v>
      </c>
      <c r="F629" s="1" t="s">
        <v>810</v>
      </c>
      <c r="I629" s="1"/>
      <c r="J629" s="1"/>
      <c r="K629" s="1"/>
      <c r="L629" s="1"/>
      <c r="O629" s="1"/>
      <c r="P629" s="1"/>
    </row>
    <row r="630" spans="1:16" x14ac:dyDescent="0.35">
      <c r="A630" s="1" t="s">
        <v>78</v>
      </c>
      <c r="B630" s="1" t="s">
        <v>81</v>
      </c>
      <c r="C630" s="1" t="s">
        <v>194</v>
      </c>
      <c r="D630" s="1" t="s">
        <v>195</v>
      </c>
      <c r="E630" s="1" t="s">
        <v>194</v>
      </c>
      <c r="F630" s="1" t="s">
        <v>827</v>
      </c>
      <c r="I630" s="1"/>
      <c r="J630" s="1"/>
      <c r="K630" s="1"/>
      <c r="L630" s="1"/>
      <c r="O630" s="1"/>
      <c r="P630" s="1"/>
    </row>
    <row r="631" spans="1:16" x14ac:dyDescent="0.35">
      <c r="A631" s="1" t="s">
        <v>78</v>
      </c>
      <c r="B631" s="1" t="s">
        <v>81</v>
      </c>
      <c r="C631" s="1" t="s">
        <v>194</v>
      </c>
      <c r="D631" s="1" t="s">
        <v>195</v>
      </c>
      <c r="E631" s="1" t="s">
        <v>840</v>
      </c>
      <c r="F631" s="1" t="s">
        <v>841</v>
      </c>
      <c r="I631" s="1"/>
      <c r="J631" s="1"/>
      <c r="K631" s="1"/>
      <c r="L631" s="1"/>
      <c r="O631" s="1"/>
      <c r="P631" s="1"/>
    </row>
    <row r="632" spans="1:16" x14ac:dyDescent="0.35">
      <c r="A632" s="1" t="s">
        <v>78</v>
      </c>
      <c r="B632" s="1" t="s">
        <v>81</v>
      </c>
      <c r="C632" s="1" t="s">
        <v>194</v>
      </c>
      <c r="D632" s="1" t="s">
        <v>195</v>
      </c>
      <c r="E632" s="1" t="s">
        <v>1022</v>
      </c>
      <c r="F632" s="1" t="s">
        <v>1023</v>
      </c>
      <c r="I632" s="1"/>
      <c r="J632" s="1"/>
      <c r="K632" s="1"/>
      <c r="L632" s="1"/>
      <c r="O632" s="1"/>
      <c r="P632" s="1"/>
    </row>
    <row r="633" spans="1:16" x14ac:dyDescent="0.35">
      <c r="A633" s="1" t="s">
        <v>78</v>
      </c>
      <c r="B633" s="1" t="s">
        <v>81</v>
      </c>
      <c r="C633" s="1" t="s">
        <v>194</v>
      </c>
      <c r="D633" s="1" t="s">
        <v>195</v>
      </c>
      <c r="E633" s="1" t="s">
        <v>1206</v>
      </c>
      <c r="F633" s="1" t="s">
        <v>1207</v>
      </c>
      <c r="I633" s="1"/>
      <c r="J633" s="1"/>
      <c r="K633" s="1"/>
      <c r="L633" s="1"/>
      <c r="O633" s="1"/>
      <c r="P633" s="1"/>
    </row>
    <row r="634" spans="1:16" x14ac:dyDescent="0.35">
      <c r="A634" s="1" t="s">
        <v>78</v>
      </c>
      <c r="B634" s="1" t="s">
        <v>81</v>
      </c>
      <c r="C634" s="1" t="s">
        <v>194</v>
      </c>
      <c r="D634" s="1" t="s">
        <v>195</v>
      </c>
      <c r="E634" s="1" t="s">
        <v>1564</v>
      </c>
      <c r="F634" s="1" t="s">
        <v>1565</v>
      </c>
      <c r="I634" s="1"/>
      <c r="J634" s="1"/>
      <c r="K634" s="1"/>
      <c r="L634" s="1"/>
      <c r="O634" s="1"/>
      <c r="P634" s="1"/>
    </row>
    <row r="635" spans="1:16" x14ac:dyDescent="0.35">
      <c r="A635" s="1" t="s">
        <v>78</v>
      </c>
      <c r="B635" s="1" t="s">
        <v>81</v>
      </c>
      <c r="C635" s="1" t="s">
        <v>196</v>
      </c>
      <c r="D635" s="1" t="s">
        <v>197</v>
      </c>
      <c r="E635" s="1" t="s">
        <v>381</v>
      </c>
      <c r="F635" s="1" t="s">
        <v>382</v>
      </c>
      <c r="I635" s="1"/>
      <c r="J635" s="1"/>
      <c r="K635" s="1"/>
      <c r="L635" s="1"/>
      <c r="O635" s="1"/>
      <c r="P635" s="1"/>
    </row>
    <row r="636" spans="1:16" x14ac:dyDescent="0.35">
      <c r="A636" s="1" t="s">
        <v>78</v>
      </c>
      <c r="B636" s="1" t="s">
        <v>81</v>
      </c>
      <c r="C636" s="1" t="s">
        <v>196</v>
      </c>
      <c r="D636" s="1" t="s">
        <v>197</v>
      </c>
      <c r="E636" s="1" t="s">
        <v>555</v>
      </c>
      <c r="F636" s="1" t="s">
        <v>556</v>
      </c>
      <c r="I636" s="1"/>
      <c r="J636" s="1"/>
      <c r="K636" s="1"/>
      <c r="L636" s="1"/>
      <c r="O636" s="1"/>
      <c r="P636" s="1"/>
    </row>
    <row r="637" spans="1:16" x14ac:dyDescent="0.35">
      <c r="A637" s="1" t="s">
        <v>78</v>
      </c>
      <c r="B637" s="1" t="s">
        <v>81</v>
      </c>
      <c r="C637" s="1" t="s">
        <v>196</v>
      </c>
      <c r="D637" s="1" t="s">
        <v>197</v>
      </c>
      <c r="E637" s="1" t="s">
        <v>632</v>
      </c>
      <c r="F637" s="1" t="s">
        <v>633</v>
      </c>
      <c r="I637" s="1"/>
      <c r="J637" s="1"/>
      <c r="K637" s="1"/>
      <c r="L637" s="1"/>
      <c r="O637" s="1"/>
      <c r="P637" s="1"/>
    </row>
    <row r="638" spans="1:16" x14ac:dyDescent="0.35">
      <c r="A638" s="1" t="s">
        <v>78</v>
      </c>
      <c r="B638" s="1" t="s">
        <v>81</v>
      </c>
      <c r="C638" s="1" t="s">
        <v>196</v>
      </c>
      <c r="D638" s="1" t="s">
        <v>197</v>
      </c>
      <c r="E638" s="1" t="s">
        <v>649</v>
      </c>
      <c r="F638" s="1" t="s">
        <v>650</v>
      </c>
      <c r="I638" s="1"/>
      <c r="J638" s="1"/>
      <c r="K638" s="1"/>
      <c r="L638" s="1"/>
      <c r="O638" s="1"/>
      <c r="P638" s="1"/>
    </row>
    <row r="639" spans="1:16" x14ac:dyDescent="0.35">
      <c r="A639" s="1" t="s">
        <v>78</v>
      </c>
      <c r="B639" s="1" t="s">
        <v>81</v>
      </c>
      <c r="C639" s="1" t="s">
        <v>196</v>
      </c>
      <c r="D639" s="1" t="s">
        <v>197</v>
      </c>
      <c r="E639" s="1" t="s">
        <v>821</v>
      </c>
      <c r="F639" s="1" t="s">
        <v>822</v>
      </c>
      <c r="I639" s="1"/>
      <c r="J639" s="1"/>
      <c r="K639" s="1"/>
      <c r="L639" s="1"/>
      <c r="O639" s="1"/>
      <c r="P639" s="1"/>
    </row>
    <row r="640" spans="1:16" x14ac:dyDescent="0.35">
      <c r="A640" s="1" t="s">
        <v>78</v>
      </c>
      <c r="B640" s="1" t="s">
        <v>81</v>
      </c>
      <c r="C640" s="1" t="s">
        <v>196</v>
      </c>
      <c r="D640" s="1" t="s">
        <v>197</v>
      </c>
      <c r="E640" s="1" t="s">
        <v>823</v>
      </c>
      <c r="F640" s="1" t="s">
        <v>824</v>
      </c>
      <c r="I640" s="1"/>
      <c r="J640" s="1"/>
      <c r="K640" s="1"/>
      <c r="L640" s="1"/>
      <c r="O640" s="1"/>
      <c r="P640" s="1"/>
    </row>
    <row r="641" spans="1:16" x14ac:dyDescent="0.35">
      <c r="A641" s="1" t="s">
        <v>78</v>
      </c>
      <c r="B641" s="1" t="s">
        <v>81</v>
      </c>
      <c r="C641" s="1" t="s">
        <v>196</v>
      </c>
      <c r="D641" s="1" t="s">
        <v>197</v>
      </c>
      <c r="E641" s="1" t="s">
        <v>890</v>
      </c>
      <c r="F641" s="1" t="s">
        <v>891</v>
      </c>
      <c r="I641" s="1"/>
      <c r="J641" s="1"/>
      <c r="K641" s="1"/>
      <c r="L641" s="1"/>
      <c r="O641" s="1"/>
      <c r="P641" s="1"/>
    </row>
    <row r="642" spans="1:16" x14ac:dyDescent="0.35">
      <c r="A642" s="1" t="s">
        <v>78</v>
      </c>
      <c r="B642" s="1" t="s">
        <v>81</v>
      </c>
      <c r="C642" s="1" t="s">
        <v>196</v>
      </c>
      <c r="D642" s="1" t="s">
        <v>197</v>
      </c>
      <c r="E642" s="1" t="s">
        <v>892</v>
      </c>
      <c r="F642" s="1" t="s">
        <v>893</v>
      </c>
      <c r="I642" s="1"/>
      <c r="J642" s="1"/>
      <c r="K642" s="1"/>
      <c r="L642" s="1"/>
      <c r="O642" s="1"/>
      <c r="P642" s="1"/>
    </row>
    <row r="643" spans="1:16" x14ac:dyDescent="0.35">
      <c r="A643" s="1" t="s">
        <v>78</v>
      </c>
      <c r="B643" s="1" t="s">
        <v>81</v>
      </c>
      <c r="C643" s="1" t="s">
        <v>196</v>
      </c>
      <c r="D643" s="1" t="s">
        <v>197</v>
      </c>
      <c r="E643" s="1" t="s">
        <v>1473</v>
      </c>
      <c r="F643" s="1" t="s">
        <v>1474</v>
      </c>
      <c r="I643" s="1"/>
      <c r="J643" s="1"/>
      <c r="K643" s="1"/>
      <c r="L643" s="1"/>
      <c r="O643" s="1"/>
      <c r="P643" s="1"/>
    </row>
    <row r="644" spans="1:16" x14ac:dyDescent="0.35">
      <c r="A644" s="1" t="s">
        <v>78</v>
      </c>
      <c r="B644" s="1" t="s">
        <v>81</v>
      </c>
      <c r="C644" s="1" t="s">
        <v>196</v>
      </c>
      <c r="D644" s="1" t="s">
        <v>197</v>
      </c>
      <c r="E644" s="1" t="s">
        <v>1497</v>
      </c>
      <c r="F644" s="1" t="s">
        <v>1498</v>
      </c>
      <c r="I644" s="1"/>
      <c r="J644" s="1"/>
      <c r="K644" s="1"/>
      <c r="L644" s="1"/>
      <c r="O644" s="1"/>
      <c r="P644" s="1"/>
    </row>
    <row r="645" spans="1:16" x14ac:dyDescent="0.35">
      <c r="A645" s="1" t="s">
        <v>78</v>
      </c>
      <c r="B645" s="1" t="s">
        <v>81</v>
      </c>
      <c r="C645" s="1" t="s">
        <v>198</v>
      </c>
      <c r="D645" s="1" t="s">
        <v>199</v>
      </c>
      <c r="E645" s="1" t="s">
        <v>349</v>
      </c>
      <c r="F645" s="1" t="s">
        <v>350</v>
      </c>
      <c r="I645" s="1"/>
      <c r="J645" s="1"/>
      <c r="K645" s="1"/>
      <c r="L645" s="1"/>
      <c r="O645" s="1"/>
      <c r="P645" s="1"/>
    </row>
    <row r="646" spans="1:16" x14ac:dyDescent="0.35">
      <c r="A646" s="1" t="s">
        <v>78</v>
      </c>
      <c r="B646" s="1" t="s">
        <v>81</v>
      </c>
      <c r="C646" s="1" t="s">
        <v>198</v>
      </c>
      <c r="D646" s="1" t="s">
        <v>199</v>
      </c>
      <c r="E646" s="1" t="s">
        <v>445</v>
      </c>
      <c r="F646" s="1" t="s">
        <v>446</v>
      </c>
      <c r="I646" s="1"/>
      <c r="J646" s="1"/>
      <c r="K646" s="1"/>
      <c r="L646" s="1"/>
      <c r="O646" s="1"/>
      <c r="P646" s="1"/>
    </row>
    <row r="647" spans="1:16" x14ac:dyDescent="0.35">
      <c r="A647" s="1" t="s">
        <v>78</v>
      </c>
      <c r="B647" s="1" t="s">
        <v>81</v>
      </c>
      <c r="C647" s="1" t="s">
        <v>198</v>
      </c>
      <c r="D647" s="1" t="s">
        <v>199</v>
      </c>
      <c r="E647" s="1" t="s">
        <v>515</v>
      </c>
      <c r="F647" s="1" t="s">
        <v>516</v>
      </c>
      <c r="I647" s="1"/>
      <c r="J647" s="1"/>
      <c r="K647" s="1"/>
      <c r="L647" s="1"/>
      <c r="O647" s="1"/>
      <c r="P647" s="1"/>
    </row>
    <row r="648" spans="1:16" x14ac:dyDescent="0.35">
      <c r="A648" s="1" t="s">
        <v>78</v>
      </c>
      <c r="B648" s="1" t="s">
        <v>81</v>
      </c>
      <c r="C648" s="1" t="s">
        <v>198</v>
      </c>
      <c r="D648" s="1" t="s">
        <v>199</v>
      </c>
      <c r="E648" s="1" t="s">
        <v>557</v>
      </c>
      <c r="F648" s="1" t="s">
        <v>558</v>
      </c>
      <c r="I648" s="1"/>
      <c r="J648" s="1"/>
      <c r="K648" s="1"/>
      <c r="L648" s="1"/>
      <c r="O648" s="1"/>
      <c r="P648" s="1"/>
    </row>
    <row r="649" spans="1:16" x14ac:dyDescent="0.35">
      <c r="A649" s="1" t="s">
        <v>78</v>
      </c>
      <c r="B649" s="1" t="s">
        <v>81</v>
      </c>
      <c r="C649" s="1" t="s">
        <v>198</v>
      </c>
      <c r="D649" s="1" t="s">
        <v>199</v>
      </c>
      <c r="E649" s="1" t="s">
        <v>963</v>
      </c>
      <c r="F649" s="1" t="s">
        <v>964</v>
      </c>
      <c r="I649" s="1"/>
      <c r="J649" s="1"/>
      <c r="K649" s="1"/>
      <c r="L649" s="1"/>
      <c r="O649" s="1"/>
      <c r="P649" s="1"/>
    </row>
    <row r="650" spans="1:16" x14ac:dyDescent="0.35">
      <c r="A650" s="1" t="s">
        <v>78</v>
      </c>
      <c r="B650" s="1" t="s">
        <v>81</v>
      </c>
      <c r="C650" s="1" t="s">
        <v>198</v>
      </c>
      <c r="D650" s="1" t="s">
        <v>199</v>
      </c>
      <c r="E650" s="1" t="s">
        <v>986</v>
      </c>
      <c r="F650" s="1" t="s">
        <v>987</v>
      </c>
      <c r="I650" s="1"/>
      <c r="J650" s="1"/>
      <c r="K650" s="1"/>
      <c r="L650" s="1"/>
      <c r="O650" s="1"/>
      <c r="P650" s="1"/>
    </row>
    <row r="651" spans="1:16" x14ac:dyDescent="0.35">
      <c r="A651" s="1" t="s">
        <v>78</v>
      </c>
      <c r="B651" s="1" t="s">
        <v>81</v>
      </c>
      <c r="C651" s="1" t="s">
        <v>198</v>
      </c>
      <c r="D651" s="1" t="s">
        <v>199</v>
      </c>
      <c r="E651" s="1" t="s">
        <v>1026</v>
      </c>
      <c r="F651" s="1" t="s">
        <v>1027</v>
      </c>
      <c r="I651" s="1"/>
      <c r="J651" s="1"/>
      <c r="K651" s="1"/>
      <c r="L651" s="1"/>
      <c r="O651" s="1"/>
      <c r="P651" s="1"/>
    </row>
    <row r="652" spans="1:16" x14ac:dyDescent="0.35">
      <c r="A652" s="1" t="s">
        <v>78</v>
      </c>
      <c r="B652" s="1" t="s">
        <v>81</v>
      </c>
      <c r="C652" s="1" t="s">
        <v>198</v>
      </c>
      <c r="D652" s="1" t="s">
        <v>199</v>
      </c>
      <c r="E652" s="1" t="s">
        <v>198</v>
      </c>
      <c r="F652" s="1" t="s">
        <v>1076</v>
      </c>
      <c r="I652" s="1"/>
      <c r="J652" s="1"/>
      <c r="K652" s="1"/>
      <c r="L652" s="1"/>
      <c r="O652" s="1"/>
      <c r="P652" s="1"/>
    </row>
    <row r="653" spans="1:16" x14ac:dyDescent="0.35">
      <c r="A653" s="1" t="s">
        <v>78</v>
      </c>
      <c r="B653" s="1" t="s">
        <v>81</v>
      </c>
      <c r="C653" s="1" t="s">
        <v>198</v>
      </c>
      <c r="D653" s="1" t="s">
        <v>199</v>
      </c>
      <c r="E653" s="1" t="s">
        <v>1143</v>
      </c>
      <c r="F653" s="1" t="s">
        <v>1144</v>
      </c>
      <c r="I653" s="1"/>
      <c r="J653" s="1"/>
      <c r="K653" s="1"/>
      <c r="L653" s="1"/>
      <c r="O653" s="1"/>
      <c r="P653" s="1"/>
    </row>
    <row r="654" spans="1:16" x14ac:dyDescent="0.35">
      <c r="A654" s="1" t="s">
        <v>78</v>
      </c>
      <c r="B654" s="1" t="s">
        <v>81</v>
      </c>
      <c r="C654" s="1" t="s">
        <v>198</v>
      </c>
      <c r="D654" s="1" t="s">
        <v>199</v>
      </c>
      <c r="E654" s="1" t="s">
        <v>1409</v>
      </c>
      <c r="F654" s="1" t="s">
        <v>1410</v>
      </c>
      <c r="I654" s="1"/>
      <c r="J654" s="1"/>
      <c r="K654" s="1"/>
      <c r="L654" s="1"/>
      <c r="O654" s="1"/>
      <c r="P654" s="1"/>
    </row>
    <row r="655" spans="1:16" x14ac:dyDescent="0.35">
      <c r="A655" s="1" t="s">
        <v>78</v>
      </c>
      <c r="B655" s="1" t="s">
        <v>81</v>
      </c>
      <c r="C655" s="1" t="s">
        <v>200</v>
      </c>
      <c r="D655" s="1" t="s">
        <v>201</v>
      </c>
      <c r="E655" s="1" t="s">
        <v>417</v>
      </c>
      <c r="F655" s="1" t="s">
        <v>418</v>
      </c>
      <c r="I655" s="1"/>
      <c r="J655" s="1"/>
      <c r="K655" s="1"/>
      <c r="L655" s="1"/>
      <c r="O655" s="1"/>
      <c r="P655" s="1"/>
    </row>
    <row r="656" spans="1:16" x14ac:dyDescent="0.35">
      <c r="A656" s="1" t="s">
        <v>78</v>
      </c>
      <c r="B656" s="1" t="s">
        <v>81</v>
      </c>
      <c r="C656" s="1" t="s">
        <v>200</v>
      </c>
      <c r="D656" s="1" t="s">
        <v>201</v>
      </c>
      <c r="E656" s="1" t="s">
        <v>419</v>
      </c>
      <c r="F656" s="1" t="s">
        <v>420</v>
      </c>
      <c r="I656" s="1"/>
      <c r="J656" s="1"/>
      <c r="K656" s="1"/>
      <c r="L656" s="1"/>
      <c r="O656" s="1"/>
      <c r="P656" s="1"/>
    </row>
    <row r="657" spans="1:16" x14ac:dyDescent="0.35">
      <c r="A657" s="1" t="s">
        <v>78</v>
      </c>
      <c r="B657" s="1" t="s">
        <v>81</v>
      </c>
      <c r="C657" s="1" t="s">
        <v>200</v>
      </c>
      <c r="D657" s="1" t="s">
        <v>201</v>
      </c>
      <c r="E657" s="1" t="s">
        <v>475</v>
      </c>
      <c r="F657" s="1" t="s">
        <v>476</v>
      </c>
      <c r="I657" s="1"/>
      <c r="J657" s="1"/>
      <c r="K657" s="1"/>
      <c r="L657" s="1"/>
      <c r="O657" s="1"/>
      <c r="P657" s="1"/>
    </row>
    <row r="658" spans="1:16" x14ac:dyDescent="0.35">
      <c r="A658" s="1" t="s">
        <v>78</v>
      </c>
      <c r="B658" s="1" t="s">
        <v>81</v>
      </c>
      <c r="C658" s="1" t="s">
        <v>200</v>
      </c>
      <c r="D658" s="1" t="s">
        <v>201</v>
      </c>
      <c r="E658" s="1" t="s">
        <v>483</v>
      </c>
      <c r="F658" s="1" t="s">
        <v>484</v>
      </c>
      <c r="I658" s="1"/>
      <c r="J658" s="1"/>
      <c r="K658" s="1"/>
      <c r="L658" s="1"/>
      <c r="O658" s="1"/>
      <c r="P658" s="1"/>
    </row>
    <row r="659" spans="1:16" x14ac:dyDescent="0.35">
      <c r="A659" s="1" t="s">
        <v>78</v>
      </c>
      <c r="B659" s="1" t="s">
        <v>81</v>
      </c>
      <c r="C659" s="1" t="s">
        <v>200</v>
      </c>
      <c r="D659" s="1" t="s">
        <v>201</v>
      </c>
      <c r="E659" s="1" t="s">
        <v>487</v>
      </c>
      <c r="F659" s="1" t="s">
        <v>488</v>
      </c>
      <c r="I659" s="1"/>
      <c r="J659" s="1"/>
      <c r="K659" s="1"/>
      <c r="L659" s="1"/>
      <c r="O659" s="1"/>
      <c r="P659" s="1"/>
    </row>
    <row r="660" spans="1:16" x14ac:dyDescent="0.35">
      <c r="A660" s="1" t="s">
        <v>78</v>
      </c>
      <c r="B660" s="1" t="s">
        <v>81</v>
      </c>
      <c r="C660" s="1" t="s">
        <v>200</v>
      </c>
      <c r="D660" s="1" t="s">
        <v>201</v>
      </c>
      <c r="E660" s="1" t="s">
        <v>527</v>
      </c>
      <c r="F660" s="1" t="s">
        <v>528</v>
      </c>
      <c r="I660" s="1"/>
      <c r="J660" s="1"/>
      <c r="K660" s="1"/>
      <c r="L660" s="1"/>
      <c r="O660" s="1"/>
      <c r="P660" s="1"/>
    </row>
    <row r="661" spans="1:16" x14ac:dyDescent="0.35">
      <c r="A661" s="1" t="s">
        <v>78</v>
      </c>
      <c r="B661" s="1" t="s">
        <v>81</v>
      </c>
      <c r="C661" s="1" t="s">
        <v>200</v>
      </c>
      <c r="D661" s="1" t="s">
        <v>201</v>
      </c>
      <c r="E661" s="1" t="s">
        <v>988</v>
      </c>
      <c r="F661" s="1" t="s">
        <v>989</v>
      </c>
      <c r="I661" s="1"/>
      <c r="J661" s="1"/>
      <c r="K661" s="1"/>
      <c r="L661" s="1"/>
      <c r="O661" s="1"/>
      <c r="P661" s="1"/>
    </row>
    <row r="662" spans="1:16" x14ac:dyDescent="0.35">
      <c r="A662" s="1" t="s">
        <v>78</v>
      </c>
      <c r="B662" s="1" t="s">
        <v>81</v>
      </c>
      <c r="C662" s="1" t="s">
        <v>200</v>
      </c>
      <c r="D662" s="1" t="s">
        <v>201</v>
      </c>
      <c r="E662" s="1" t="s">
        <v>1032</v>
      </c>
      <c r="F662" s="1" t="s">
        <v>1033</v>
      </c>
      <c r="I662" s="1"/>
      <c r="J662" s="1"/>
      <c r="K662" s="1"/>
      <c r="L662" s="1"/>
      <c r="O662" s="1"/>
      <c r="P662" s="1"/>
    </row>
    <row r="663" spans="1:16" x14ac:dyDescent="0.35">
      <c r="A663" s="1" t="s">
        <v>78</v>
      </c>
      <c r="B663" s="1" t="s">
        <v>81</v>
      </c>
      <c r="C663" s="1" t="s">
        <v>200</v>
      </c>
      <c r="D663" s="1" t="s">
        <v>201</v>
      </c>
      <c r="E663" s="1" t="s">
        <v>200</v>
      </c>
      <c r="F663" s="1" t="s">
        <v>1230</v>
      </c>
      <c r="I663" s="1"/>
      <c r="J663" s="1"/>
      <c r="K663" s="1"/>
      <c r="L663" s="1"/>
      <c r="O663" s="1"/>
      <c r="P663" s="1"/>
    </row>
    <row r="664" spans="1:16" x14ac:dyDescent="0.35">
      <c r="A664" s="1" t="s">
        <v>78</v>
      </c>
      <c r="B664" s="1" t="s">
        <v>81</v>
      </c>
      <c r="C664" s="1" t="s">
        <v>200</v>
      </c>
      <c r="D664" s="1" t="s">
        <v>201</v>
      </c>
      <c r="E664" s="1" t="s">
        <v>1427</v>
      </c>
      <c r="F664" s="1" t="s">
        <v>1428</v>
      </c>
      <c r="I664" s="1"/>
      <c r="J664" s="1"/>
      <c r="K664" s="1"/>
      <c r="L664" s="1"/>
      <c r="O664" s="1"/>
      <c r="P664" s="1"/>
    </row>
    <row r="665" spans="1:16" x14ac:dyDescent="0.35">
      <c r="A665" s="1" t="s">
        <v>78</v>
      </c>
      <c r="B665" s="1" t="s">
        <v>81</v>
      </c>
      <c r="C665" s="1" t="s">
        <v>200</v>
      </c>
      <c r="D665" s="1" t="s">
        <v>201</v>
      </c>
      <c r="E665" s="1" t="s">
        <v>1503</v>
      </c>
      <c r="F665" s="1" t="s">
        <v>1504</v>
      </c>
      <c r="I665" s="1"/>
      <c r="J665" s="1"/>
      <c r="K665" s="1"/>
      <c r="L665" s="1"/>
      <c r="O665" s="1"/>
      <c r="P665" s="1"/>
    </row>
    <row r="666" spans="1:16" x14ac:dyDescent="0.35">
      <c r="A666" s="1" t="s">
        <v>78</v>
      </c>
      <c r="B666" s="1" t="s">
        <v>81</v>
      </c>
      <c r="C666" s="1" t="s">
        <v>202</v>
      </c>
      <c r="D666" s="1" t="s">
        <v>203</v>
      </c>
      <c r="E666" s="1" t="s">
        <v>220</v>
      </c>
      <c r="F666" s="1" t="s">
        <v>221</v>
      </c>
      <c r="I666" s="1"/>
      <c r="J666" s="1"/>
      <c r="K666" s="1"/>
      <c r="L666" s="1"/>
      <c r="O666" s="1"/>
      <c r="P666" s="1"/>
    </row>
    <row r="667" spans="1:16" x14ac:dyDescent="0.35">
      <c r="A667" s="1" t="s">
        <v>78</v>
      </c>
      <c r="B667" s="1" t="s">
        <v>81</v>
      </c>
      <c r="C667" s="1" t="s">
        <v>202</v>
      </c>
      <c r="D667" s="1" t="s">
        <v>203</v>
      </c>
      <c r="E667" s="1" t="s">
        <v>383</v>
      </c>
      <c r="F667" s="1" t="s">
        <v>386</v>
      </c>
      <c r="I667" s="1"/>
      <c r="J667" s="1"/>
      <c r="K667" s="1"/>
      <c r="L667" s="1"/>
      <c r="O667" s="1"/>
      <c r="P667" s="1"/>
    </row>
    <row r="668" spans="1:16" x14ac:dyDescent="0.35">
      <c r="A668" s="1" t="s">
        <v>78</v>
      </c>
      <c r="B668" s="1" t="s">
        <v>81</v>
      </c>
      <c r="C668" s="1" t="s">
        <v>202</v>
      </c>
      <c r="D668" s="1" t="s">
        <v>203</v>
      </c>
      <c r="E668" s="1" t="s">
        <v>387</v>
      </c>
      <c r="F668" s="1" t="s">
        <v>388</v>
      </c>
      <c r="I668" s="1"/>
      <c r="J668" s="1"/>
      <c r="K668" s="1"/>
      <c r="L668" s="1"/>
      <c r="O668" s="1"/>
      <c r="P668" s="1"/>
    </row>
    <row r="669" spans="1:16" x14ac:dyDescent="0.35">
      <c r="A669" s="1" t="s">
        <v>78</v>
      </c>
      <c r="B669" s="1" t="s">
        <v>81</v>
      </c>
      <c r="C669" s="1" t="s">
        <v>202</v>
      </c>
      <c r="D669" s="1" t="s">
        <v>203</v>
      </c>
      <c r="E669" s="1" t="s">
        <v>423</v>
      </c>
      <c r="F669" s="1" t="s">
        <v>424</v>
      </c>
      <c r="I669" s="1"/>
      <c r="J669" s="1"/>
      <c r="K669" s="1"/>
      <c r="L669" s="1"/>
      <c r="O669" s="1"/>
      <c r="P669" s="1"/>
    </row>
    <row r="670" spans="1:16" x14ac:dyDescent="0.35">
      <c r="A670" s="1" t="s">
        <v>78</v>
      </c>
      <c r="B670" s="1" t="s">
        <v>81</v>
      </c>
      <c r="C670" s="1" t="s">
        <v>202</v>
      </c>
      <c r="D670" s="1" t="s">
        <v>203</v>
      </c>
      <c r="E670" s="1" t="s">
        <v>543</v>
      </c>
      <c r="F670" s="1" t="s">
        <v>544</v>
      </c>
      <c r="I670" s="1"/>
      <c r="J670" s="1"/>
      <c r="K670" s="1"/>
      <c r="L670" s="1"/>
      <c r="O670" s="1"/>
      <c r="P670" s="1"/>
    </row>
    <row r="671" spans="1:16" x14ac:dyDescent="0.35">
      <c r="A671" s="1" t="s">
        <v>78</v>
      </c>
      <c r="B671" s="1" t="s">
        <v>81</v>
      </c>
      <c r="C671" s="1" t="s">
        <v>202</v>
      </c>
      <c r="D671" s="1" t="s">
        <v>203</v>
      </c>
      <c r="E671" s="1" t="s">
        <v>783</v>
      </c>
      <c r="F671" s="1" t="s">
        <v>787</v>
      </c>
      <c r="I671" s="1"/>
      <c r="J671" s="1"/>
      <c r="K671" s="1"/>
      <c r="L671" s="1"/>
      <c r="O671" s="1"/>
      <c r="P671" s="1"/>
    </row>
    <row r="672" spans="1:16" x14ac:dyDescent="0.35">
      <c r="A672" s="1" t="s">
        <v>78</v>
      </c>
      <c r="B672" s="1" t="s">
        <v>81</v>
      </c>
      <c r="C672" s="1" t="s">
        <v>202</v>
      </c>
      <c r="D672" s="1" t="s">
        <v>203</v>
      </c>
      <c r="E672" s="1" t="s">
        <v>884</v>
      </c>
      <c r="F672" s="1" t="s">
        <v>885</v>
      </c>
      <c r="I672" s="1"/>
      <c r="J672" s="1"/>
      <c r="K672" s="1"/>
      <c r="L672" s="1"/>
      <c r="O672" s="1"/>
      <c r="P672" s="1"/>
    </row>
    <row r="673" spans="1:16" x14ac:dyDescent="0.35">
      <c r="A673" s="1" t="s">
        <v>78</v>
      </c>
      <c r="B673" s="1" t="s">
        <v>81</v>
      </c>
      <c r="C673" s="1" t="s">
        <v>202</v>
      </c>
      <c r="D673" s="1" t="s">
        <v>203</v>
      </c>
      <c r="E673" s="1" t="s">
        <v>1106</v>
      </c>
      <c r="F673" s="1" t="s">
        <v>1107</v>
      </c>
      <c r="I673" s="1"/>
      <c r="J673" s="1"/>
      <c r="K673" s="1"/>
      <c r="L673" s="1"/>
      <c r="O673" s="1"/>
      <c r="P673" s="1"/>
    </row>
    <row r="674" spans="1:16" x14ac:dyDescent="0.35">
      <c r="A674" s="1" t="s">
        <v>78</v>
      </c>
      <c r="B674" s="1" t="s">
        <v>81</v>
      </c>
      <c r="C674" s="1" t="s">
        <v>202</v>
      </c>
      <c r="D674" s="1" t="s">
        <v>203</v>
      </c>
      <c r="E674" s="1" t="s">
        <v>1251</v>
      </c>
      <c r="F674" s="1" t="s">
        <v>1252</v>
      </c>
      <c r="I674" s="1"/>
      <c r="J674" s="1"/>
      <c r="K674" s="1"/>
      <c r="L674" s="1"/>
      <c r="O674" s="1"/>
      <c r="P674" s="1"/>
    </row>
    <row r="675" spans="1:16" x14ac:dyDescent="0.35">
      <c r="A675" s="1" t="s">
        <v>78</v>
      </c>
      <c r="B675" s="1" t="s">
        <v>81</v>
      </c>
      <c r="C675" s="1" t="s">
        <v>202</v>
      </c>
      <c r="D675" s="1" t="s">
        <v>203</v>
      </c>
      <c r="E675" s="1" t="s">
        <v>1263</v>
      </c>
      <c r="F675" s="1" t="s">
        <v>1264</v>
      </c>
      <c r="I675" s="1"/>
      <c r="J675" s="1"/>
      <c r="K675" s="1"/>
      <c r="L675" s="1"/>
      <c r="O675" s="1"/>
      <c r="P675" s="1"/>
    </row>
    <row r="676" spans="1:16" x14ac:dyDescent="0.35">
      <c r="A676" s="1" t="s">
        <v>78</v>
      </c>
      <c r="B676" s="1" t="s">
        <v>81</v>
      </c>
      <c r="C676" s="1" t="s">
        <v>204</v>
      </c>
      <c r="D676" s="1" t="s">
        <v>205</v>
      </c>
      <c r="E676" s="1" t="s">
        <v>304</v>
      </c>
      <c r="F676" s="1" t="s">
        <v>305</v>
      </c>
      <c r="I676" s="1"/>
      <c r="J676" s="1"/>
      <c r="K676" s="1"/>
      <c r="L676" s="1"/>
      <c r="O676" s="1"/>
      <c r="P676" s="1"/>
    </row>
    <row r="677" spans="1:16" x14ac:dyDescent="0.35">
      <c r="A677" s="1" t="s">
        <v>78</v>
      </c>
      <c r="B677" s="1" t="s">
        <v>81</v>
      </c>
      <c r="C677" s="1" t="s">
        <v>204</v>
      </c>
      <c r="D677" s="1" t="s">
        <v>205</v>
      </c>
      <c r="E677" s="1" t="s">
        <v>357</v>
      </c>
      <c r="F677" s="1" t="s">
        <v>358</v>
      </c>
      <c r="O677" s="1"/>
      <c r="P677" s="1"/>
    </row>
    <row r="678" spans="1:16" x14ac:dyDescent="0.35">
      <c r="A678" s="1" t="s">
        <v>78</v>
      </c>
      <c r="B678" s="1" t="s">
        <v>81</v>
      </c>
      <c r="C678" s="1" t="s">
        <v>204</v>
      </c>
      <c r="D678" s="1" t="s">
        <v>205</v>
      </c>
      <c r="E678" s="1" t="s">
        <v>359</v>
      </c>
      <c r="F678" s="1" t="s">
        <v>360</v>
      </c>
      <c r="O678" s="1"/>
      <c r="P678" s="1"/>
    </row>
    <row r="679" spans="1:16" x14ac:dyDescent="0.35">
      <c r="A679" s="1" t="s">
        <v>78</v>
      </c>
      <c r="B679" s="1" t="s">
        <v>81</v>
      </c>
      <c r="C679" s="1" t="s">
        <v>204</v>
      </c>
      <c r="D679" s="1" t="s">
        <v>205</v>
      </c>
      <c r="E679" s="1" t="s">
        <v>465</v>
      </c>
      <c r="F679" s="1" t="s">
        <v>466</v>
      </c>
      <c r="O679" s="1"/>
      <c r="P679" s="1"/>
    </row>
    <row r="680" spans="1:16" x14ac:dyDescent="0.35">
      <c r="A680" s="1" t="s">
        <v>78</v>
      </c>
      <c r="B680" s="1" t="s">
        <v>81</v>
      </c>
      <c r="C680" s="1" t="s">
        <v>204</v>
      </c>
      <c r="D680" s="1" t="s">
        <v>205</v>
      </c>
      <c r="E680" s="1" t="s">
        <v>505</v>
      </c>
      <c r="F680" s="1" t="s">
        <v>506</v>
      </c>
      <c r="O680" s="1"/>
      <c r="P680" s="1"/>
    </row>
    <row r="681" spans="1:16" x14ac:dyDescent="0.35">
      <c r="A681" s="1" t="s">
        <v>78</v>
      </c>
      <c r="B681" s="1" t="s">
        <v>81</v>
      </c>
      <c r="C681" s="1" t="s">
        <v>204</v>
      </c>
      <c r="D681" s="1" t="s">
        <v>205</v>
      </c>
      <c r="E681" s="1" t="s">
        <v>509</v>
      </c>
      <c r="F681" s="1" t="s">
        <v>510</v>
      </c>
      <c r="O681" s="1"/>
      <c r="P681" s="1"/>
    </row>
    <row r="682" spans="1:16" x14ac:dyDescent="0.35">
      <c r="A682" s="1" t="s">
        <v>78</v>
      </c>
      <c r="B682" s="1" t="s">
        <v>81</v>
      </c>
      <c r="C682" s="1" t="s">
        <v>204</v>
      </c>
      <c r="D682" s="1" t="s">
        <v>205</v>
      </c>
      <c r="E682" s="1" t="s">
        <v>792</v>
      </c>
      <c r="F682" s="1" t="s">
        <v>793</v>
      </c>
      <c r="O682" s="1"/>
      <c r="P682" s="1"/>
    </row>
    <row r="683" spans="1:16" x14ac:dyDescent="0.35">
      <c r="A683" s="1" t="s">
        <v>78</v>
      </c>
      <c r="B683" s="1" t="s">
        <v>81</v>
      </c>
      <c r="C683" s="1" t="s">
        <v>204</v>
      </c>
      <c r="D683" s="1" t="s">
        <v>205</v>
      </c>
      <c r="E683" s="1" t="s">
        <v>1114</v>
      </c>
      <c r="F683" s="1" t="s">
        <v>1115</v>
      </c>
      <c r="O683" s="1"/>
      <c r="P683" s="1"/>
    </row>
    <row r="684" spans="1:16" x14ac:dyDescent="0.35">
      <c r="A684" s="1" t="s">
        <v>78</v>
      </c>
      <c r="B684" s="1" t="s">
        <v>81</v>
      </c>
      <c r="C684" s="1" t="s">
        <v>204</v>
      </c>
      <c r="D684" s="1" t="s">
        <v>205</v>
      </c>
      <c r="E684" s="1" t="s">
        <v>1267</v>
      </c>
      <c r="F684" s="1" t="s">
        <v>1268</v>
      </c>
      <c r="O684" s="1"/>
      <c r="P684" s="1"/>
    </row>
    <row r="685" spans="1:16" x14ac:dyDescent="0.35">
      <c r="A685" s="1" t="s">
        <v>78</v>
      </c>
      <c r="B685" s="1" t="s">
        <v>81</v>
      </c>
      <c r="C685" s="1" t="s">
        <v>204</v>
      </c>
      <c r="D685" s="1" t="s">
        <v>205</v>
      </c>
      <c r="E685" s="1" t="s">
        <v>1550</v>
      </c>
      <c r="F685" s="1" t="s">
        <v>1551</v>
      </c>
      <c r="O685" s="1"/>
      <c r="P685" s="1"/>
    </row>
    <row r="686" spans="1:16" x14ac:dyDescent="0.35">
      <c r="A686" s="1" t="s">
        <v>78</v>
      </c>
      <c r="B686" s="1" t="s">
        <v>81</v>
      </c>
      <c r="C686" s="1" t="s">
        <v>206</v>
      </c>
      <c r="D686" s="1" t="s">
        <v>207</v>
      </c>
      <c r="E686" s="1" t="s">
        <v>270</v>
      </c>
      <c r="F686" s="1" t="s">
        <v>271</v>
      </c>
      <c r="O686" s="1"/>
      <c r="P686" s="1"/>
    </row>
    <row r="687" spans="1:16" x14ac:dyDescent="0.35">
      <c r="A687" s="1" t="s">
        <v>78</v>
      </c>
      <c r="B687" s="1" t="s">
        <v>81</v>
      </c>
      <c r="C687" s="1" t="s">
        <v>206</v>
      </c>
      <c r="D687" s="1" t="s">
        <v>207</v>
      </c>
      <c r="E687" s="1" t="s">
        <v>335</v>
      </c>
      <c r="F687" s="1" t="s">
        <v>336</v>
      </c>
      <c r="O687" s="1"/>
      <c r="P687" s="1"/>
    </row>
    <row r="688" spans="1:16" x14ac:dyDescent="0.35">
      <c r="A688" s="1" t="s">
        <v>78</v>
      </c>
      <c r="B688" s="1" t="s">
        <v>81</v>
      </c>
      <c r="C688" s="1" t="s">
        <v>206</v>
      </c>
      <c r="D688" s="1" t="s">
        <v>207</v>
      </c>
      <c r="E688" s="1" t="s">
        <v>673</v>
      </c>
      <c r="F688" s="1" t="s">
        <v>674</v>
      </c>
      <c r="O688" s="1"/>
      <c r="P688" s="1"/>
    </row>
    <row r="689" spans="1:16" x14ac:dyDescent="0.35">
      <c r="A689" s="1" t="s">
        <v>78</v>
      </c>
      <c r="B689" s="1" t="s">
        <v>81</v>
      </c>
      <c r="C689" s="1" t="s">
        <v>206</v>
      </c>
      <c r="D689" s="1" t="s">
        <v>207</v>
      </c>
      <c r="E689" s="1" t="s">
        <v>860</v>
      </c>
      <c r="F689" s="1" t="s">
        <v>861</v>
      </c>
      <c r="O689" s="1"/>
      <c r="P689" s="1"/>
    </row>
    <row r="690" spans="1:16" x14ac:dyDescent="0.35">
      <c r="A690" s="1" t="s">
        <v>78</v>
      </c>
      <c r="B690" s="1" t="s">
        <v>81</v>
      </c>
      <c r="C690" s="1" t="s">
        <v>206</v>
      </c>
      <c r="D690" s="1" t="s">
        <v>207</v>
      </c>
      <c r="E690" s="1" t="s">
        <v>965</v>
      </c>
      <c r="F690" s="1" t="s">
        <v>966</v>
      </c>
      <c r="O690" s="1"/>
      <c r="P690" s="1"/>
    </row>
    <row r="691" spans="1:16" x14ac:dyDescent="0.35">
      <c r="A691" s="1" t="s">
        <v>78</v>
      </c>
      <c r="B691" s="1" t="s">
        <v>81</v>
      </c>
      <c r="C691" s="1" t="s">
        <v>206</v>
      </c>
      <c r="D691" s="1" t="s">
        <v>207</v>
      </c>
      <c r="E691" s="1" t="s">
        <v>1034</v>
      </c>
      <c r="F691" s="1" t="s">
        <v>1035</v>
      </c>
      <c r="O691" s="1"/>
      <c r="P691" s="1"/>
    </row>
    <row r="692" spans="1:16" x14ac:dyDescent="0.35">
      <c r="A692" s="1" t="s">
        <v>78</v>
      </c>
      <c r="B692" s="1" t="s">
        <v>81</v>
      </c>
      <c r="C692" s="1" t="s">
        <v>206</v>
      </c>
      <c r="D692" s="1" t="s">
        <v>207</v>
      </c>
      <c r="E692" s="1" t="s">
        <v>160</v>
      </c>
      <c r="F692" s="1" t="s">
        <v>1083</v>
      </c>
      <c r="O692" s="1"/>
      <c r="P692" s="1"/>
    </row>
    <row r="693" spans="1:16" x14ac:dyDescent="0.35">
      <c r="A693" s="1" t="s">
        <v>78</v>
      </c>
      <c r="B693" s="1" t="s">
        <v>81</v>
      </c>
      <c r="C693" s="1" t="s">
        <v>206</v>
      </c>
      <c r="D693" s="1" t="s">
        <v>207</v>
      </c>
      <c r="E693" s="1" t="s">
        <v>1116</v>
      </c>
      <c r="F693" s="1" t="s">
        <v>1117</v>
      </c>
      <c r="O693" s="1"/>
      <c r="P693" s="1"/>
    </row>
    <row r="694" spans="1:16" x14ac:dyDescent="0.35">
      <c r="A694" s="1" t="s">
        <v>78</v>
      </c>
      <c r="B694" s="1" t="s">
        <v>81</v>
      </c>
      <c r="C694" s="1" t="s">
        <v>206</v>
      </c>
      <c r="D694" s="1" t="s">
        <v>207</v>
      </c>
      <c r="E694" s="1" t="s">
        <v>1366</v>
      </c>
      <c r="F694" s="1" t="s">
        <v>1367</v>
      </c>
      <c r="O694" s="1"/>
      <c r="P694" s="1"/>
    </row>
    <row r="695" spans="1:16" x14ac:dyDescent="0.35">
      <c r="A695" s="1" t="s">
        <v>78</v>
      </c>
      <c r="B695" s="1" t="s">
        <v>81</v>
      </c>
      <c r="C695" s="1" t="s">
        <v>206</v>
      </c>
      <c r="D695" s="1" t="s">
        <v>207</v>
      </c>
      <c r="E695" s="1" t="s">
        <v>1403</v>
      </c>
      <c r="F695" s="1" t="s">
        <v>1404</v>
      </c>
      <c r="O695" s="1"/>
      <c r="P695" s="1"/>
    </row>
    <row r="696" spans="1:16" x14ac:dyDescent="0.35">
      <c r="A696" s="1" t="s">
        <v>78</v>
      </c>
      <c r="B696" s="1" t="s">
        <v>81</v>
      </c>
      <c r="C696" s="1" t="s">
        <v>208</v>
      </c>
      <c r="D696" s="1" t="s">
        <v>209</v>
      </c>
      <c r="E696" s="1" t="s">
        <v>393</v>
      </c>
      <c r="F696" s="1" t="s">
        <v>394</v>
      </c>
      <c r="O696" s="1"/>
      <c r="P696" s="1"/>
    </row>
    <row r="697" spans="1:16" x14ac:dyDescent="0.35">
      <c r="A697" s="1" t="s">
        <v>78</v>
      </c>
      <c r="B697" s="1" t="s">
        <v>81</v>
      </c>
      <c r="C697" s="1" t="s">
        <v>208</v>
      </c>
      <c r="D697" s="1" t="s">
        <v>209</v>
      </c>
      <c r="E697" s="1" t="s">
        <v>485</v>
      </c>
      <c r="F697" s="1" t="s">
        <v>486</v>
      </c>
      <c r="O697" s="1"/>
      <c r="P697" s="1"/>
    </row>
    <row r="698" spans="1:16" x14ac:dyDescent="0.35">
      <c r="A698" s="1" t="s">
        <v>78</v>
      </c>
      <c r="B698" s="1" t="s">
        <v>81</v>
      </c>
      <c r="C698" s="1" t="s">
        <v>208</v>
      </c>
      <c r="D698" s="1" t="s">
        <v>209</v>
      </c>
      <c r="E698" s="1" t="s">
        <v>489</v>
      </c>
      <c r="F698" s="1" t="s">
        <v>490</v>
      </c>
      <c r="O698" s="1"/>
      <c r="P698" s="1"/>
    </row>
    <row r="699" spans="1:16" x14ac:dyDescent="0.35">
      <c r="A699" s="1" t="s">
        <v>78</v>
      </c>
      <c r="B699" s="1" t="s">
        <v>81</v>
      </c>
      <c r="C699" s="1" t="s">
        <v>208</v>
      </c>
      <c r="D699" s="1" t="s">
        <v>209</v>
      </c>
      <c r="E699" s="1" t="s">
        <v>495</v>
      </c>
      <c r="F699" s="1" t="s">
        <v>496</v>
      </c>
      <c r="O699" s="1"/>
      <c r="P699" s="1"/>
    </row>
    <row r="700" spans="1:16" x14ac:dyDescent="0.35">
      <c r="A700" s="1" t="s">
        <v>78</v>
      </c>
      <c r="B700" s="1" t="s">
        <v>81</v>
      </c>
      <c r="C700" s="1" t="s">
        <v>208</v>
      </c>
      <c r="D700" s="1" t="s">
        <v>209</v>
      </c>
      <c r="E700" s="1" t="s">
        <v>872</v>
      </c>
      <c r="F700" s="1" t="s">
        <v>873</v>
      </c>
    </row>
    <row r="701" spans="1:16" x14ac:dyDescent="0.35">
      <c r="A701" s="1" t="s">
        <v>78</v>
      </c>
      <c r="B701" s="1" t="s">
        <v>81</v>
      </c>
      <c r="C701" s="1" t="s">
        <v>208</v>
      </c>
      <c r="D701" s="1" t="s">
        <v>209</v>
      </c>
      <c r="E701" s="1" t="s">
        <v>1095</v>
      </c>
      <c r="F701" s="1" t="s">
        <v>1097</v>
      </c>
    </row>
    <row r="702" spans="1:16" x14ac:dyDescent="0.35">
      <c r="A702" s="1" t="s">
        <v>78</v>
      </c>
      <c r="B702" s="1" t="s">
        <v>81</v>
      </c>
      <c r="C702" s="1" t="s">
        <v>208</v>
      </c>
      <c r="D702" s="1" t="s">
        <v>209</v>
      </c>
      <c r="E702" s="1" t="s">
        <v>1198</v>
      </c>
      <c r="F702" s="1" t="s">
        <v>1199</v>
      </c>
    </row>
    <row r="703" spans="1:16" x14ac:dyDescent="0.35">
      <c r="A703" s="1" t="s">
        <v>78</v>
      </c>
      <c r="B703" s="1" t="s">
        <v>81</v>
      </c>
      <c r="C703" s="1" t="s">
        <v>208</v>
      </c>
      <c r="D703" s="1" t="s">
        <v>209</v>
      </c>
      <c r="E703" s="1" t="s">
        <v>1437</v>
      </c>
      <c r="F703" s="1" t="s">
        <v>1438</v>
      </c>
    </row>
    <row r="704" spans="1:16" x14ac:dyDescent="0.35">
      <c r="A704" s="1" t="s">
        <v>78</v>
      </c>
      <c r="B704" s="1" t="s">
        <v>81</v>
      </c>
      <c r="C704" s="1" t="s">
        <v>208</v>
      </c>
      <c r="D704" s="1" t="s">
        <v>209</v>
      </c>
      <c r="E704" s="1" t="s">
        <v>208</v>
      </c>
      <c r="F704" s="1" t="s">
        <v>1562</v>
      </c>
    </row>
    <row r="705" spans="1:6" x14ac:dyDescent="0.35">
      <c r="A705" s="1" t="s">
        <v>78</v>
      </c>
      <c r="B705" s="1" t="s">
        <v>81</v>
      </c>
      <c r="C705" s="1" t="s">
        <v>208</v>
      </c>
      <c r="D705" s="1" t="s">
        <v>209</v>
      </c>
      <c r="E705" s="1" t="s">
        <v>1564</v>
      </c>
      <c r="F705" s="1" t="s">
        <v>1566</v>
      </c>
    </row>
    <row r="706" spans="1:6" x14ac:dyDescent="0.35">
      <c r="A706" s="1" t="s">
        <v>78</v>
      </c>
      <c r="B706" s="1" t="s">
        <v>81</v>
      </c>
      <c r="C706" s="1" t="s">
        <v>210</v>
      </c>
      <c r="D706" s="1" t="s">
        <v>211</v>
      </c>
      <c r="E706" s="1" t="s">
        <v>391</v>
      </c>
      <c r="F706" s="1" t="s">
        <v>392</v>
      </c>
    </row>
    <row r="707" spans="1:6" x14ac:dyDescent="0.35">
      <c r="A707" s="1" t="s">
        <v>78</v>
      </c>
      <c r="B707" s="1" t="s">
        <v>81</v>
      </c>
      <c r="C707" s="1" t="s">
        <v>210</v>
      </c>
      <c r="D707" s="1" t="s">
        <v>211</v>
      </c>
      <c r="E707" s="1" t="s">
        <v>726</v>
      </c>
      <c r="F707" s="1" t="s">
        <v>727</v>
      </c>
    </row>
    <row r="708" spans="1:6" x14ac:dyDescent="0.35">
      <c r="A708" s="1" t="s">
        <v>78</v>
      </c>
      <c r="B708" s="1" t="s">
        <v>81</v>
      </c>
      <c r="C708" s="1" t="s">
        <v>210</v>
      </c>
      <c r="D708" s="1" t="s">
        <v>211</v>
      </c>
      <c r="E708" s="1" t="s">
        <v>748</v>
      </c>
      <c r="F708" s="1" t="s">
        <v>749</v>
      </c>
    </row>
    <row r="709" spans="1:6" x14ac:dyDescent="0.35">
      <c r="A709" s="1" t="s">
        <v>78</v>
      </c>
      <c r="B709" s="1" t="s">
        <v>81</v>
      </c>
      <c r="C709" s="1" t="s">
        <v>210</v>
      </c>
      <c r="D709" s="1" t="s">
        <v>211</v>
      </c>
      <c r="E709" s="1" t="s">
        <v>842</v>
      </c>
      <c r="F709" s="1" t="s">
        <v>843</v>
      </c>
    </row>
    <row r="710" spans="1:6" x14ac:dyDescent="0.35">
      <c r="A710" s="1" t="s">
        <v>78</v>
      </c>
      <c r="B710" s="1" t="s">
        <v>81</v>
      </c>
      <c r="C710" s="1" t="s">
        <v>210</v>
      </c>
      <c r="D710" s="1" t="s">
        <v>211</v>
      </c>
      <c r="E710" s="1" t="s">
        <v>992</v>
      </c>
      <c r="F710" s="1" t="s">
        <v>993</v>
      </c>
    </row>
    <row r="711" spans="1:6" x14ac:dyDescent="0.35">
      <c r="A711" s="1" t="s">
        <v>78</v>
      </c>
      <c r="B711" s="1" t="s">
        <v>81</v>
      </c>
      <c r="C711" s="1" t="s">
        <v>210</v>
      </c>
      <c r="D711" s="1" t="s">
        <v>211</v>
      </c>
      <c r="E711" s="1" t="s">
        <v>1089</v>
      </c>
      <c r="F711" s="1" t="s">
        <v>1090</v>
      </c>
    </row>
    <row r="712" spans="1:6" x14ac:dyDescent="0.35">
      <c r="A712" s="1" t="s">
        <v>78</v>
      </c>
      <c r="B712" s="1" t="s">
        <v>81</v>
      </c>
      <c r="C712" s="1" t="s">
        <v>210</v>
      </c>
      <c r="D712" s="1" t="s">
        <v>211</v>
      </c>
      <c r="E712" s="1" t="s">
        <v>1159</v>
      </c>
      <c r="F712" s="1" t="s">
        <v>1160</v>
      </c>
    </row>
    <row r="713" spans="1:6" x14ac:dyDescent="0.35">
      <c r="A713" s="1" t="s">
        <v>78</v>
      </c>
      <c r="B713" s="1" t="s">
        <v>81</v>
      </c>
      <c r="C713" s="1" t="s">
        <v>210</v>
      </c>
      <c r="D713" s="1" t="s">
        <v>211</v>
      </c>
      <c r="E713" s="1" t="s">
        <v>1401</v>
      </c>
      <c r="F713" s="1" t="s">
        <v>1402</v>
      </c>
    </row>
    <row r="714" spans="1:6" x14ac:dyDescent="0.35">
      <c r="A714" s="1" t="s">
        <v>78</v>
      </c>
      <c r="B714" s="1" t="s">
        <v>81</v>
      </c>
      <c r="C714" s="1" t="s">
        <v>210</v>
      </c>
      <c r="D714" s="1" t="s">
        <v>211</v>
      </c>
      <c r="E714" s="1" t="s">
        <v>1452</v>
      </c>
      <c r="F714" s="1" t="s">
        <v>1453</v>
      </c>
    </row>
    <row r="715" spans="1:6" x14ac:dyDescent="0.35">
      <c r="A715" s="1" t="s">
        <v>78</v>
      </c>
      <c r="B715" s="1" t="s">
        <v>81</v>
      </c>
      <c r="C715" s="1" t="s">
        <v>210</v>
      </c>
      <c r="D715" s="1" t="s">
        <v>211</v>
      </c>
      <c r="E715" s="1" t="s">
        <v>210</v>
      </c>
      <c r="F715" s="1" t="s">
        <v>1563</v>
      </c>
    </row>
    <row r="720" spans="1:6" x14ac:dyDescent="0.35">
      <c r="D720" s="46" t="s">
        <v>1708</v>
      </c>
    </row>
  </sheetData>
  <sortState xmlns:xlrd2="http://schemas.microsoft.com/office/spreadsheetml/2017/richdata2" ref="AE45:AE52">
    <sortCondition ref="AE45:AE52"/>
  </sortState>
  <phoneticPr fontId="7" type="noConversion"/>
  <conditionalFormatting sqref="AE1:AE41">
    <cfRule type="containsBlanks" dxfId="1" priority="2">
      <formula>LEN(TRIM(AE1))=0</formula>
    </cfRule>
  </conditionalFormatting>
  <conditionalFormatting sqref="AF2:AH41">
    <cfRule type="containsText" dxfId="0" priority="1" operator="containsText" text="unit">
      <formula>NOT(ISERROR(SEARCH("unit",AF2)))</formula>
    </cfRule>
  </conditionalFormatting>
  <pageMargins left="0.7" right="0.7" top="0.75" bottom="0.75" header="0.3" footer="0.3"/>
  <tableParts count="1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SemaphoreItemMetadata xmlns="5858627f-d058-4b92-9b52-677b5fd7d454" xsi:nil="true"/>
    <TaxCatchAll xmlns="ca283e0b-db31-4043-a2ef-b80661bf084a">
      <Value>3</Value>
    </TaxCatchAll>
    <ga975397408f43e4b84ec8e5a598e523 xmlns="ca283e0b-db31-4043-a2ef-b80661bf084a">
      <Terms xmlns="http://schemas.microsoft.com/office/infopath/2007/PartnerControls">
        <TermInfo xmlns="http://schemas.microsoft.com/office/infopath/2007/PartnerControls">
          <TermName xmlns="http://schemas.microsoft.com/office/infopath/2007/PartnerControls">Office of Emergency Prog.-456F</TermName>
          <TermId xmlns="http://schemas.microsoft.com/office/infopath/2007/PartnerControls">98de697e-6403-48a0-9bce-654c90399d04</TermId>
        </TermInfo>
      </Terms>
    </ga975397408f43e4b84ec8e5a598e523>
    <k8c968e8c72a4eda96b7e8fdbe192be2 xmlns="ca283e0b-db31-4043-a2ef-b80661bf084a">
      <Terms xmlns="http://schemas.microsoft.com/office/infopath/2007/PartnerControls"/>
    </k8c968e8c72a4eda96b7e8fdbe192be2>
    <j169e817e0ee4eb8974e6fc4a2762909 xmlns="ca283e0b-db31-4043-a2ef-b80661bf084a">
      <Terms xmlns="http://schemas.microsoft.com/office/infopath/2007/PartnerControls"/>
    </j169e817e0ee4eb8974e6fc4a2762909>
    <DateTransmittedEmail xmlns="ca283e0b-db31-4043-a2ef-b80661bf084a" xsi:nil="true"/>
    <ContentStatus xmlns="ca283e0b-db31-4043-a2ef-b80661bf084a" xsi:nil="true"/>
    <SenderEmail xmlns="ca283e0b-db31-4043-a2ef-b80661bf084a" xsi:nil="true"/>
    <IconOverlay xmlns="http://schemas.microsoft.com/sharepoint/v4" xsi:nil="true"/>
    <ContentLanguage xmlns="ca283e0b-db31-4043-a2ef-b80661bf084a">English</ContentLanguage>
    <j048a4f9aaad4a8990a1d5e5f53cb451 xmlns="ca283e0b-db31-4043-a2ef-b80661bf084a">
      <Terms xmlns="http://schemas.microsoft.com/office/infopath/2007/PartnerControls"/>
    </j048a4f9aaad4a8990a1d5e5f53cb451>
    <h6a71f3e574e4344bc34f3fc9dd20054 xmlns="ca283e0b-db31-4043-a2ef-b80661bf084a">
      <Terms xmlns="http://schemas.microsoft.com/office/infopath/2007/PartnerControls"/>
    </h6a71f3e574e4344bc34f3fc9dd20054>
    <TaxKeywordTaxHTField xmlns="5858627f-d058-4b92-9b52-677b5fd7d454">
      <Terms xmlns="http://schemas.microsoft.com/office/infopath/2007/PartnerControls"/>
    </TaxKeywordTaxHTField>
    <CategoryDescription xmlns="http://schemas.microsoft.com/sharepoint.v3" xsi:nil="true"/>
    <RecipientsEmail xmlns="ca283e0b-db31-4043-a2ef-b80661bf084a" xsi:nil="true"/>
    <mda26ace941f4791a7314a339fee829c xmlns="ca283e0b-db31-4043-a2ef-b80661bf084a">
      <Terms xmlns="http://schemas.microsoft.com/office/infopath/2007/PartnerControls"/>
    </mda26ace941f4791a7314a339fee829c>
    <WrittenBy xmlns="ca283e0b-db31-4043-a2ef-b80661bf084a">
      <UserInfo>
        <DisplayName/>
        <AccountId xsi:nil="true"/>
        <AccountType/>
      </UserInfo>
    </WrittenBy>
    <lcf76f155ced4ddcb4097134ff3c332f xmlns="0337eace-5501-4d9d-ab80-dcb38b450cad">
      <Terms xmlns="http://schemas.microsoft.com/office/infopath/2007/PartnerControls"/>
    </lcf76f155ced4ddcb4097134ff3c332f>
    <_dlc_DocId xmlns="5858627f-d058-4b92-9b52-677b5fd7d454">EMOPSGCCU-1076225054-158169</_dlc_DocId>
    <_dlc_DocIdUrl xmlns="5858627f-d058-4b92-9b52-677b5fd7d454">
      <Url>https://unicef.sharepoint.com/teams/EMOPS-GCCU/_layouts/15/DocIdRedir.aspx?ID=EMOPSGCCU-1076225054-158169</Url>
      <Description>EMOPSGCCU-1076225054-158169</Description>
    </_dlc_DocIdUrl>
  </documentManagement>
</p:properties>
</file>

<file path=customXml/item4.xml><?xml version="1.0" encoding="utf-8"?>
<?mso-contentType ?>
<customXsn xmlns="http://schemas.microsoft.com/office/2006/metadata/customXsn">
  <xsnLocation/>
  <cached>True</cached>
  <openByDefault>True</openByDefault>
  <xsnScope/>
</customXsn>
</file>

<file path=customXml/item5.xml>��
</file>

<file path=customXml/item6.xml><?xml version="1.0" encoding="utf-8"?>
<ct:contentTypeSchema xmlns:ct="http://schemas.microsoft.com/office/2006/metadata/contentType" xmlns:ma="http://schemas.microsoft.com/office/2006/metadata/properties/metaAttributes" ct:_="" ma:_="" ma:contentTypeName="UNICEF Document" ma:contentTypeID="0x0101009BA85F8052A6DA4FA3E31FF9F74C69700070C0DFB21998F24CB43F3479CB9B9F89" ma:contentTypeVersion="280" ma:contentTypeDescription="" ma:contentTypeScope="" ma:versionID="5431a93d918d4ec64a926d71e902ad81">
  <xsd:schema xmlns:xsd="http://www.w3.org/2001/XMLSchema" xmlns:xs="http://www.w3.org/2001/XMLSchema" xmlns:p="http://schemas.microsoft.com/office/2006/metadata/properties" xmlns:ns1="http://schemas.microsoft.com/sharepoint/v3" xmlns:ns2="ca283e0b-db31-4043-a2ef-b80661bf084a" xmlns:ns3="http://schemas.microsoft.com/sharepoint.v3" xmlns:ns4="5858627f-d058-4b92-9b52-677b5fd7d454" xmlns:ns5="0337eace-5501-4d9d-ab80-dcb38b450cad" xmlns:ns6="http://schemas.microsoft.com/sharepoint/v4" targetNamespace="http://schemas.microsoft.com/office/2006/metadata/properties" ma:root="true" ma:fieldsID="41a4a01ce1f020be9dd9e387b7647eb4" ns1:_="" ns2:_="" ns3:_="" ns4:_="" ns5:_="" ns6:_="">
    <xsd:import namespace="http://schemas.microsoft.com/sharepoint/v3"/>
    <xsd:import namespace="ca283e0b-db31-4043-a2ef-b80661bf084a"/>
    <xsd:import namespace="http://schemas.microsoft.com/sharepoint.v3"/>
    <xsd:import namespace="5858627f-d058-4b92-9b52-677b5fd7d454"/>
    <xsd:import namespace="0337eace-5501-4d9d-ab80-dcb38b450cad"/>
    <xsd:import namespace="http://schemas.microsoft.com/sharepoint/v4"/>
    <xsd:element name="properties">
      <xsd:complexType>
        <xsd:sequence>
          <xsd:element name="documentManagement">
            <xsd:complexType>
              <xsd:all>
                <xsd:element ref="ns2:WrittenBy" minOccurs="0"/>
                <xsd:element ref="ns2:ContentLanguage" minOccurs="0"/>
                <xsd:element ref="ns3:CategoryDescription" minOccurs="0"/>
                <xsd:element ref="ns2:RecipientsEmail" minOccurs="0"/>
                <xsd:element ref="ns2:SenderEmail" minOccurs="0"/>
                <xsd:element ref="ns2:DateTransmittedEmail" minOccurs="0"/>
                <xsd:element ref="ns2:k8c968e8c72a4eda96b7e8fdbe192be2" minOccurs="0"/>
                <xsd:element ref="ns2:ga975397408f43e4b84ec8e5a598e523" minOccurs="0"/>
                <xsd:element ref="ns2:mda26ace941f4791a7314a339fee829c" minOccurs="0"/>
                <xsd:element ref="ns2:TaxCatchAllLabel" minOccurs="0"/>
                <xsd:element ref="ns2:TaxCatchAll" minOccurs="0"/>
                <xsd:element ref="ns2:h6a71f3e574e4344bc34f3fc9dd20054" minOccurs="0"/>
                <xsd:element ref="ns2:ContentStatus" minOccurs="0"/>
                <xsd:element ref="ns2:j169e817e0ee4eb8974e6fc4a2762909" minOccurs="0"/>
                <xsd:element ref="ns2:j048a4f9aaad4a8990a1d5e5f53cb451" minOccurs="0"/>
                <xsd:element ref="ns5:MediaServiceMetadata" minOccurs="0"/>
                <xsd:element ref="ns5:MediaServiceFastMetadata" minOccurs="0"/>
                <xsd:element ref="ns5:MediaServiceDateTaken" minOccurs="0"/>
                <xsd:element ref="ns5:MediaServiceAutoTags" minOccurs="0"/>
                <xsd:element ref="ns5:MediaServiceGenerationTime" minOccurs="0"/>
                <xsd:element ref="ns5:MediaServiceEventHashCode" minOccurs="0"/>
                <xsd:element ref="ns5:MediaServiceLocation" minOccurs="0"/>
                <xsd:element ref="ns5:MediaServiceOCR" minOccurs="0"/>
                <xsd:element ref="ns5:MediaServiceAutoKeyPoints" minOccurs="0"/>
                <xsd:element ref="ns5:MediaServiceKeyPoints" minOccurs="0"/>
                <xsd:element ref="ns4:SharedWithUsers" minOccurs="0"/>
                <xsd:element ref="ns4:SharedWithDetails" minOccurs="0"/>
                <xsd:element ref="ns6:IconOverlay" minOccurs="0"/>
                <xsd:element ref="ns1:_vti_ItemDeclaredRecord" minOccurs="0"/>
                <xsd:element ref="ns1:_vti_ItemHoldRecordStatus" minOccurs="0"/>
                <xsd:element ref="ns4:TaxKeywordTaxHTField" minOccurs="0"/>
                <xsd:element ref="ns4:_dlc_DocId" minOccurs="0"/>
                <xsd:element ref="ns4:_dlc_DocIdUrl" minOccurs="0"/>
                <xsd:element ref="ns4:_dlc_DocIdPersistId" minOccurs="0"/>
                <xsd:element ref="ns4:SemaphoreItemMetadata" minOccurs="0"/>
                <xsd:element ref="ns5:MediaLengthInSeconds" minOccurs="0"/>
                <xsd:element ref="ns5:lcf76f155ced4ddcb4097134ff3c332f"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vti_ItemDeclaredRecord" ma:index="44" nillable="true" ma:displayName="Declared Record" ma:hidden="true" ma:internalName="_vti_ItemDeclaredRecord" ma:readOnly="true">
      <xsd:simpleType>
        <xsd:restriction base="dms:DateTime"/>
      </xsd:simpleType>
    </xsd:element>
    <xsd:element name="_vti_ItemHoldRecordStatus" ma:index="45" nillable="true" ma:displayName="Hold and Record Status" ma:decimals="0" ma:description="" ma:hidden="true" ma:indexed="true" ma:internalName="_vti_ItemHoldRecord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a283e0b-db31-4043-a2ef-b80661bf084a" elementFormDefault="qualified">
    <xsd:import namespace="http://schemas.microsoft.com/office/2006/documentManagement/types"/>
    <xsd:import namespace="http://schemas.microsoft.com/office/infopath/2007/PartnerControls"/>
    <xsd:element name="WrittenBy" ma:index="3" nillable="true" ma:displayName="Written By" ma:description="‘Written By’ is auto-completed with the name of the uploader, but can be edited if you are uploading on behalf of someone else." ma:list="UserInfo" ma:SharePointGroup="0" ma:internalName="WrittenBy"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ntentLanguage" ma:index="4" nillable="true" ma:displayName="Content Language *" ma:default="English" ma:format="RadioButtons" ma:indexed="true" ma:internalName="ContentLanguage" ma:readOnly="false">
      <xsd:simpleType>
        <xsd:restriction base="dms:Choice">
          <xsd:enumeration value="English"/>
          <xsd:enumeration value="French"/>
          <xsd:enumeration value="Spanish"/>
          <xsd:enumeration value="Russian"/>
          <xsd:enumeration value="Chinese"/>
          <xsd:enumeration value="Arabic"/>
          <xsd:enumeration value="other"/>
        </xsd:restriction>
      </xsd:simpleType>
    </xsd:element>
    <xsd:element name="RecipientsEmail" ma:index="9" nillable="true" ma:displayName="Recipients (email)" ma:hidden="true" ma:internalName="RecipientsEmail" ma:readOnly="false">
      <xsd:simpleType>
        <xsd:restriction base="dms:Text">
          <xsd:maxLength value="255"/>
        </xsd:restriction>
      </xsd:simpleType>
    </xsd:element>
    <xsd:element name="SenderEmail" ma:index="10" nillable="true" ma:displayName="Sender (email)" ma:hidden="true" ma:internalName="SenderEmail" ma:readOnly="false">
      <xsd:simpleType>
        <xsd:restriction base="dms:Text">
          <xsd:maxLength value="255"/>
        </xsd:restriction>
      </xsd:simpleType>
    </xsd:element>
    <xsd:element name="DateTransmittedEmail" ma:index="11" nillable="true" ma:displayName="Date transmitted (email)" ma:format="DateTime" ma:hidden="true" ma:internalName="DateTransmittedEmail" ma:readOnly="false">
      <xsd:simpleType>
        <xsd:restriction base="dms:DateTime"/>
      </xsd:simpleType>
    </xsd:element>
    <xsd:element name="k8c968e8c72a4eda96b7e8fdbe192be2" ma:index="12" nillable="true" ma:taxonomy="true" ma:internalName="k8c968e8c72a4eda96b7e8fdbe192be2" ma:taxonomyFieldName="GeographicScope" ma:displayName="Geographic Scope" ma:default="" ma:fieldId="{48c968e8-c72a-4eda-96b7-e8fdbe192be2}" ma:taxonomyMulti="true" ma:sspId="73f51738-d318-4883-9d64-4f0bd0ccc55e" ma:termSetId="0a00fedf-defc-4fe3-a3bf-9929b29a638e" ma:anchorId="00000000-0000-0000-0000-000000000000" ma:open="false" ma:isKeyword="false">
      <xsd:complexType>
        <xsd:sequence>
          <xsd:element ref="pc:Terms" minOccurs="0" maxOccurs="1"/>
        </xsd:sequence>
      </xsd:complexType>
    </xsd:element>
    <xsd:element name="ga975397408f43e4b84ec8e5a598e523" ma:index="16" nillable="true" ma:taxonomy="true" ma:internalName="ga975397408f43e4b84ec8e5a598e523" ma:taxonomyFieldName="OfficeDivision" ma:displayName="Office/Division *" ma:default="3;#Office of Emergency Prog.-456F|98de697e-6403-48a0-9bce-654c90399d04" ma:fieldId="{0a975397-408f-43e4-b84e-c8e5a598e523}" ma:sspId="73f51738-d318-4883-9d64-4f0bd0ccc55e" ma:termSetId="1761a25e-44f4-4213-964a-f96c515e12cb" ma:anchorId="00000000-0000-0000-0000-000000000000" ma:open="false" ma:isKeyword="false">
      <xsd:complexType>
        <xsd:sequence>
          <xsd:element ref="pc:Terms" minOccurs="0" maxOccurs="1"/>
        </xsd:sequence>
      </xsd:complexType>
    </xsd:element>
    <xsd:element name="mda26ace941f4791a7314a339fee829c" ma:index="17" nillable="true" ma:taxonomy="true" ma:internalName="mda26ace941f4791a7314a339fee829c" ma:taxonomyFieldName="DocumentType" ma:displayName="Document Type *" ma:indexed="true" ma:readOnly="false" ma:default="" ma:fieldId="{6da26ace-941f-4791-a731-4a339fee829c}" ma:sspId="73f51738-d318-4883-9d64-4f0bd0ccc55e" ma:termSetId="f93b6877-8902-4378-8587-5ec85f36ead9" ma:anchorId="00000000-0000-0000-0000-000000000000" ma:open="false" ma:isKeyword="false">
      <xsd:complexType>
        <xsd:sequence>
          <xsd:element ref="pc:Terms" minOccurs="0" maxOccurs="1"/>
        </xsd:sequence>
      </xsd:complexType>
    </xsd:element>
    <xsd:element name="TaxCatchAllLabel" ma:index="18" nillable="true" ma:displayName="Taxonomy Catch All Column1" ma:hidden="true" ma:list="{e129f4a5-dc42-4d6e-b210-548907d0accc}" ma:internalName="TaxCatchAllLabel" ma:readOnly="true" ma:showField="CatchAllDataLabel" ma:web="5858627f-d058-4b92-9b52-677b5fd7d454">
      <xsd:complexType>
        <xsd:complexContent>
          <xsd:extension base="dms:MultiChoiceLookup">
            <xsd:sequence>
              <xsd:element name="Value" type="dms:Lookup" maxOccurs="unbounded" minOccurs="0" nillable="true"/>
            </xsd:sequence>
          </xsd:extension>
        </xsd:complexContent>
      </xsd:complexType>
    </xsd:element>
    <xsd:element name="TaxCatchAll" ma:index="22" nillable="true" ma:displayName="Taxonomy Catch All Column" ma:hidden="true" ma:list="{e129f4a5-dc42-4d6e-b210-548907d0accc}" ma:internalName="TaxCatchAll" ma:showField="CatchAllData" ma:web="5858627f-d058-4b92-9b52-677b5fd7d454">
      <xsd:complexType>
        <xsd:complexContent>
          <xsd:extension base="dms:MultiChoiceLookup">
            <xsd:sequence>
              <xsd:element name="Value" type="dms:Lookup" maxOccurs="unbounded" minOccurs="0" nillable="true"/>
            </xsd:sequence>
          </xsd:extension>
        </xsd:complexContent>
      </xsd:complexType>
    </xsd:element>
    <xsd:element name="h6a71f3e574e4344bc34f3fc9dd20054" ma:index="23" nillable="true" ma:taxonomy="true" ma:internalName="h6a71f3e574e4344bc34f3fc9dd20054" ma:taxonomyFieldName="Topic" ma:displayName="Topic *" ma:readOnly="false" ma:default="" ma:fieldId="{16a71f3e-574e-4344-bc34-f3fc9dd20054}" ma:taxonomyMulti="true" ma:sspId="73f51738-d318-4883-9d64-4f0bd0ccc55e" ma:termSetId="9561e0e6-71cf-4f3c-87c3-08a6b5d907e8" ma:anchorId="00000000-0000-0000-0000-000000000000" ma:open="false" ma:isKeyword="false">
      <xsd:complexType>
        <xsd:sequence>
          <xsd:element ref="pc:Terms" minOccurs="0" maxOccurs="1"/>
        </xsd:sequence>
      </xsd:complexType>
    </xsd:element>
    <xsd:element name="ContentStatus" ma:index="25" nillable="true" ma:displayName="Content Status" ma:description="Optional column to indicate document status: no status, draft, final or expired.​" ma:format="RadioButtons" ma:internalName="ContentStatus">
      <xsd:simpleType>
        <xsd:restriction base="dms:Choice">
          <xsd:enumeration value="­"/>
          <xsd:enumeration value="Draft"/>
          <xsd:enumeration value="Final"/>
          <xsd:enumeration value="Expired"/>
        </xsd:restriction>
      </xsd:simpleType>
    </xsd:element>
    <xsd:element name="j169e817e0ee4eb8974e6fc4a2762909" ma:index="26" nillable="true" ma:taxonomy="true" ma:internalName="j169e817e0ee4eb8974e6fc4a2762909" ma:taxonomyFieldName="CriticalForLongTermRetention" ma:displayName="Critical for long-term retention?" ma:default="" ma:fieldId="{3169e817-e0ee-4eb8-974e-6fc4a2762909}" ma:sspId="73f51738-d318-4883-9d64-4f0bd0ccc55e" ma:termSetId="59f85175-3dbf-4592-9c1d-453af9da4e8b" ma:anchorId="00000000-0000-0000-0000-000000000000" ma:open="false" ma:isKeyword="false">
      <xsd:complexType>
        <xsd:sequence>
          <xsd:element ref="pc:Terms" minOccurs="0" maxOccurs="1"/>
        </xsd:sequence>
      </xsd:complexType>
    </xsd:element>
    <xsd:element name="j048a4f9aaad4a8990a1d5e5f53cb451" ma:index="28" nillable="true" ma:taxonomy="true" ma:internalName="j048a4f9aaad4a8990a1d5e5f53cb451" ma:taxonomyFieldName="SystemDTAC" ma:displayName="System-DT-AC" ma:default="" ma:fieldId="{3048a4f9-aaad-4a89-90a1-d5e5f53cb451}" ma:sspId="73f51738-d318-4883-9d64-4f0bd0ccc55e" ma:termSetId="1e3381f3-a35f-499a-9a3c-017e5423e02a"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internalName="CategoryDescription">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858627f-d058-4b92-9b52-677b5fd7d454" elementFormDefault="qualified">
    <xsd:import namespace="http://schemas.microsoft.com/office/2006/documentManagement/types"/>
    <xsd:import namespace="http://schemas.microsoft.com/office/infopath/2007/PartnerControls"/>
    <xsd:element name="SharedWithUsers" ma:index="4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2" nillable="true" ma:displayName="Shared With Details" ma:internalName="SharedWithDetails" ma:readOnly="true">
      <xsd:simpleType>
        <xsd:restriction base="dms:Note">
          <xsd:maxLength value="255"/>
        </xsd:restriction>
      </xsd:simpleType>
    </xsd:element>
    <xsd:element name="TaxKeywordTaxHTField" ma:index="46" nillable="true" ma:taxonomy="true" ma:internalName="TaxKeywordTaxHTField" ma:taxonomyFieldName="TaxKeyword" ma:displayName="Enterprise Keywords" ma:fieldId="{23f27201-bee3-471e-b2e7-b64fd8b7ca38}" ma:taxonomyMulti="true" ma:sspId="73f51738-d318-4883-9d64-4f0bd0ccc55e" ma:termSetId="00000000-0000-0000-0000-000000000000" ma:anchorId="00000000-0000-0000-0000-000000000000" ma:open="true" ma:isKeyword="true">
      <xsd:complexType>
        <xsd:sequence>
          <xsd:element ref="pc:Terms" minOccurs="0" maxOccurs="1"/>
        </xsd:sequence>
      </xsd:complexType>
    </xsd:element>
    <xsd:element name="_dlc_DocId" ma:index="47" nillable="true" ma:displayName="Document ID Value" ma:description="The value of the document ID assigned to this item." ma:internalName="_dlc_DocId" ma:readOnly="true">
      <xsd:simpleType>
        <xsd:restriction base="dms:Text"/>
      </xsd:simpleType>
    </xsd:element>
    <xsd:element name="_dlc_DocIdUrl" ma:index="48"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49" nillable="true" ma:displayName="Persist ID" ma:description="Keep ID on add." ma:hidden="true" ma:internalName="_dlc_DocIdPersistId" ma:readOnly="true">
      <xsd:simpleType>
        <xsd:restriction base="dms:Boolean"/>
      </xsd:simpleType>
    </xsd:element>
    <xsd:element name="SemaphoreItemMetadata" ma:index="50" nillable="true" ma:displayName="Semaphore Status" ma:hidden="true" ma:internalName="SemaphoreItemMeta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337eace-5501-4d9d-ab80-dcb38b450cad" elementFormDefault="qualified">
    <xsd:import namespace="http://schemas.microsoft.com/office/2006/documentManagement/types"/>
    <xsd:import namespace="http://schemas.microsoft.com/office/infopath/2007/PartnerControls"/>
    <xsd:element name="MediaServiceMetadata" ma:index="31" nillable="true" ma:displayName="MediaServiceMetadata" ma:hidden="true" ma:internalName="MediaServiceMetadata" ma:readOnly="true">
      <xsd:simpleType>
        <xsd:restriction base="dms:Note"/>
      </xsd:simpleType>
    </xsd:element>
    <xsd:element name="MediaServiceFastMetadata" ma:index="32" nillable="true" ma:displayName="MediaServiceFastMetadata" ma:hidden="true" ma:internalName="MediaServiceFastMetadata" ma:readOnly="true">
      <xsd:simpleType>
        <xsd:restriction base="dms:Note"/>
      </xsd:simpleType>
    </xsd:element>
    <xsd:element name="MediaServiceDateTaken" ma:index="33" nillable="true" ma:displayName="MediaServiceDateTaken" ma:hidden="true" ma:internalName="MediaServiceDateTaken" ma:readOnly="true">
      <xsd:simpleType>
        <xsd:restriction base="dms:Text"/>
      </xsd:simpleType>
    </xsd:element>
    <xsd:element name="MediaServiceAutoTags" ma:index="34" nillable="true" ma:displayName="Tags" ma:internalName="MediaServiceAutoTags" ma:readOnly="true">
      <xsd:simpleType>
        <xsd:restriction base="dms:Text"/>
      </xsd:simpleType>
    </xsd:element>
    <xsd:element name="MediaServiceGenerationTime" ma:index="35" nillable="true" ma:displayName="MediaServiceGenerationTime" ma:hidden="true" ma:internalName="MediaServiceGenerationTime" ma:readOnly="true">
      <xsd:simpleType>
        <xsd:restriction base="dms:Text"/>
      </xsd:simpleType>
    </xsd:element>
    <xsd:element name="MediaServiceEventHashCode" ma:index="36" nillable="true" ma:displayName="MediaServiceEventHashCode" ma:hidden="true" ma:internalName="MediaServiceEventHashCode" ma:readOnly="true">
      <xsd:simpleType>
        <xsd:restriction base="dms:Text"/>
      </xsd:simpleType>
    </xsd:element>
    <xsd:element name="MediaServiceLocation" ma:index="37" nillable="true" ma:displayName="Location" ma:internalName="MediaServiceLocation" ma:readOnly="true">
      <xsd:simpleType>
        <xsd:restriction base="dms:Text"/>
      </xsd:simpleType>
    </xsd:element>
    <xsd:element name="MediaServiceOCR" ma:index="38" nillable="true" ma:displayName="Extracted Text" ma:internalName="MediaServiceOCR" ma:readOnly="true">
      <xsd:simpleType>
        <xsd:restriction base="dms:Note">
          <xsd:maxLength value="255"/>
        </xsd:restriction>
      </xsd:simpleType>
    </xsd:element>
    <xsd:element name="MediaServiceAutoKeyPoints" ma:index="39" nillable="true" ma:displayName="MediaServiceAutoKeyPoints" ma:hidden="true" ma:internalName="MediaServiceAutoKeyPoints" ma:readOnly="true">
      <xsd:simpleType>
        <xsd:restriction base="dms:Note"/>
      </xsd:simpleType>
    </xsd:element>
    <xsd:element name="MediaServiceKeyPoints" ma:index="40" nillable="true" ma:displayName="KeyPoints" ma:internalName="MediaServiceKeyPoints" ma:readOnly="true">
      <xsd:simpleType>
        <xsd:restriction base="dms:Note">
          <xsd:maxLength value="255"/>
        </xsd:restriction>
      </xsd:simpleType>
    </xsd:element>
    <xsd:element name="MediaLengthInSeconds" ma:index="51" nillable="true" ma:displayName="Length (seconds)" ma:internalName="MediaLengthInSeconds" ma:readOnly="true">
      <xsd:simpleType>
        <xsd:restriction base="dms:Unknown"/>
      </xsd:simpleType>
    </xsd:element>
    <xsd:element name="lcf76f155ced4ddcb4097134ff3c332f" ma:index="53" nillable="true" ma:taxonomy="true" ma:internalName="lcf76f155ced4ddcb4097134ff3c332f" ma:taxonomyFieldName="MediaServiceImageTags" ma:displayName="Image Tags" ma:readOnly="false" ma:fieldId="{5cf76f15-5ced-4ddc-b409-7134ff3c332f}" ma:taxonomyMulti="true" ma:sspId="73f51738-d318-4883-9d64-4f0bd0ccc55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5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5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43"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7.xml><?xml version="1.0" encoding="utf-8"?>
<?mso-contentType ?>
<SharedContentType xmlns="Microsoft.SharePoint.Taxonomy.ContentTypeSync" SourceId="73f51738-d318-4883-9d64-4f0bd0ccc55e" ContentTypeId="0x0101009BA85F8052A6DA4FA3E31FF9F74C6970" PreviousValue="false"/>
</file>

<file path=customXml/itemProps1.xml><?xml version="1.0" encoding="utf-8"?>
<ds:datastoreItem xmlns:ds="http://schemas.openxmlformats.org/officeDocument/2006/customXml" ds:itemID="{5B64FF70-7BA2-4C32-B7AC-CD8A84D2643D}">
  <ds:schemaRefs>
    <ds:schemaRef ds:uri="http://schemas.microsoft.com/sharepoint/v3/contenttype/forms"/>
  </ds:schemaRefs>
</ds:datastoreItem>
</file>

<file path=customXml/itemProps2.xml><?xml version="1.0" encoding="utf-8"?>
<ds:datastoreItem xmlns:ds="http://schemas.openxmlformats.org/officeDocument/2006/customXml" ds:itemID="{FB5DA0B1-059B-4561-A550-CCBF6A7FA55C}">
  <ds:schemaRefs>
    <ds:schemaRef ds:uri="http://schemas.microsoft.com/sharepoint/events"/>
  </ds:schemaRefs>
</ds:datastoreItem>
</file>

<file path=customXml/itemProps3.xml><?xml version="1.0" encoding="utf-8"?>
<ds:datastoreItem xmlns:ds="http://schemas.openxmlformats.org/officeDocument/2006/customXml" ds:itemID="{1ABBE515-FEDF-4505-B53A-785006BB1E57}">
  <ds:schemaRefs>
    <ds:schemaRef ds:uri="http://schemas.microsoft.com/office/2006/metadata/properties"/>
    <ds:schemaRef ds:uri="http://schemas.microsoft.com/office/infopath/2007/PartnerControls"/>
    <ds:schemaRef ds:uri="5858627f-d058-4b92-9b52-677b5fd7d454"/>
    <ds:schemaRef ds:uri="ca283e0b-db31-4043-a2ef-b80661bf084a"/>
    <ds:schemaRef ds:uri="http://schemas.microsoft.com/sharepoint/v4"/>
    <ds:schemaRef ds:uri="http://schemas.microsoft.com/sharepoint.v3"/>
    <ds:schemaRef ds:uri="0337eace-5501-4d9d-ab80-dcb38b450cad"/>
  </ds:schemaRefs>
</ds:datastoreItem>
</file>

<file path=customXml/itemProps4.xml><?xml version="1.0" encoding="utf-8"?>
<ds:datastoreItem xmlns:ds="http://schemas.openxmlformats.org/officeDocument/2006/customXml" ds:itemID="{7F421397-1E0B-4BC1-985D-F27844F58D0B}">
  <ds:schemaRefs>
    <ds:schemaRef ds:uri="http://schemas.microsoft.com/office/2006/metadata/customXsn"/>
  </ds:schemaRefs>
</ds:datastoreItem>
</file>

<file path=customXml/itemProps5.xml><?xml version="1.0" encoding="utf-8"?>
<ds:datastoreItem xmlns:ds="http://schemas.openxmlformats.org/officeDocument/2006/customXml" ds:itemID="{A18E0950-E5C5-4B03-87DC-E724E42AD45E}">
  <ds:schemaRefs>
    <ds:schemaRef ds:uri="http://schemas.microsoft.com/DataMashup"/>
  </ds:schemaRefs>
</ds:datastoreItem>
</file>

<file path=customXml/itemProps6.xml><?xml version="1.0" encoding="utf-8"?>
<ds:datastoreItem xmlns:ds="http://schemas.openxmlformats.org/officeDocument/2006/customXml" ds:itemID="{8CE5CB8E-15BA-4A03-8299-2AFC291D1E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a283e0b-db31-4043-a2ef-b80661bf084a"/>
    <ds:schemaRef ds:uri="http://schemas.microsoft.com/sharepoint.v3"/>
    <ds:schemaRef ds:uri="5858627f-d058-4b92-9b52-677b5fd7d454"/>
    <ds:schemaRef ds:uri="0337eace-5501-4d9d-ab80-dcb38b450cad"/>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7.xml><?xml version="1.0" encoding="utf-8"?>
<ds:datastoreItem xmlns:ds="http://schemas.openxmlformats.org/officeDocument/2006/customXml" ds:itemID="{6518D60B-6B04-4CBD-A142-082C751C30B9}">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22</vt:i4>
      </vt:variant>
    </vt:vector>
  </HeadingPairs>
  <TitlesOfParts>
    <vt:vector size="24" baseType="lpstr">
      <vt:lpstr>0_Instructions</vt:lpstr>
      <vt:lpstr>1_MATRIX</vt:lpstr>
      <vt:lpstr>Activity_tbl</vt:lpstr>
      <vt:lpstr>Activity_title</vt:lpstr>
      <vt:lpstr>Adamawa</vt:lpstr>
      <vt:lpstr>'1_Partner Contact'!ADM1_</vt:lpstr>
      <vt:lpstr>ADM1_</vt:lpstr>
      <vt:lpstr>BenefType</vt:lpstr>
      <vt:lpstr>Borno</vt:lpstr>
      <vt:lpstr>'1_Partner Contact'!Domain</vt:lpstr>
      <vt:lpstr>Domain</vt:lpstr>
      <vt:lpstr>Domain_tbl</vt:lpstr>
      <vt:lpstr>Domain_title</vt:lpstr>
      <vt:lpstr>EmergList</vt:lpstr>
      <vt:lpstr>indicator</vt:lpstr>
      <vt:lpstr>Modality</vt:lpstr>
      <vt:lpstr>'1_Partner Contact'!OrgType</vt:lpstr>
      <vt:lpstr>OrgType</vt:lpstr>
      <vt:lpstr>Partners</vt:lpstr>
      <vt:lpstr>'0_Instructions'!Print_Area</vt:lpstr>
      <vt:lpstr>'1_Partner Contact'!Print_Area</vt:lpstr>
      <vt:lpstr>SiteType</vt:lpstr>
      <vt:lpstr>Status</vt:lpstr>
      <vt:lpstr>Yobe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cp:keywords/>
  <dc:description/>
  <cp:lastModifiedBy>Musa Maibasha</cp:lastModifiedBy>
  <cp:revision/>
  <cp:lastPrinted>2025-01-14T12:10:59Z</cp:lastPrinted>
  <dcterms:created xsi:type="dcterms:W3CDTF">2015-06-05T18:17:20Z</dcterms:created>
  <dcterms:modified xsi:type="dcterms:W3CDTF">2026-09-01T13:33:40Z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0x0101009BA85F8052A6DA4FA3E31FF9F74C69700070C0DFB21998F24CB43F3479CB9B9F89</vt:lpwstr>
  </property>
  <property fmtid="{D5CDD505-2E9C-101B-9397-08002B2CF9AE}" pid="3" name="OfficeDivision">
    <vt:lpwstr>3;#Office of Emergency Prog.-456F|98de697e-6403-48a0-9bce-654c90399d04</vt:lpwstr>
  </property>
  <property fmtid="{D5CDD505-2E9C-101B-9397-08002B2CF9AE}" pid="4" name="_dlc_DocIdItemGuid">
    <vt:lpwstr>e6b45abd-9a60-43a3-add3-5a02d0c0ddef</vt:lpwstr>
  </property>
  <property fmtid="{D5CDD505-2E9C-101B-9397-08002B2CF9AE}" pid="5" name="SystemDTAC">
    <vt:lpwstr/>
  </property>
  <property fmtid="{D5CDD505-2E9C-101B-9397-08002B2CF9AE}" pid="6" name="TaxKeyword">
    <vt:lpwstr/>
  </property>
  <property fmtid="{D5CDD505-2E9C-101B-9397-08002B2CF9AE}" pid="7" name="Topic">
    <vt:lpwstr/>
  </property>
  <property fmtid="{D5CDD505-2E9C-101B-9397-08002B2CF9AE}" pid="8" name="MediaServiceImageTags">
    <vt:lpwstr/>
  </property>
  <property fmtid="{D5CDD505-2E9C-101B-9397-08002B2CF9AE}" pid="9" name="CriticalForLongTermRetention">
    <vt:lpwstr/>
  </property>
  <property fmtid="{D5CDD505-2E9C-101B-9397-08002B2CF9AE}" pid="10" name="DocumentType">
    <vt:lpwstr/>
  </property>
  <property fmtid="{D5CDD505-2E9C-101B-9397-08002B2CF9AE}" pid="11" name="GeographicScope">
    <vt:lpwstr/>
  </property>
</Properties>
</file>